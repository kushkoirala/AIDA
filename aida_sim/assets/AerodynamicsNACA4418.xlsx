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1075" windowHeight="9270" activeTab="1"/>
  </bookViews>
  <sheets>
    <sheet name="Standard Atm." sheetId="1" r:id="rId1"/>
    <sheet name="Aero. Chract. (Total)" sheetId="6" r:id="rId2"/>
    <sheet name="Info (Payload Bay)" sheetId="2" r:id="rId3"/>
    <sheet name="Aero. Chract. (Payload Bay)" sheetId="3" r:id="rId4"/>
    <sheet name="Info. (Bar)" sheetId="4" r:id="rId5"/>
    <sheet name="Aero. Chract. (Bar)" sheetId="5" r:id="rId6"/>
    <sheet name="Info. (Trap.)" sheetId="7" r:id="rId7"/>
    <sheet name="Aero. Chract. (Trap.)" sheetId="8" r:id="rId8"/>
  </sheets>
  <calcPr calcId="125725"/>
</workbook>
</file>

<file path=xl/calcChain.xml><?xml version="1.0" encoding="utf-8"?>
<calcChain xmlns="http://schemas.openxmlformats.org/spreadsheetml/2006/main">
  <c r="G8" i="6"/>
  <c r="H6"/>
  <c r="G6"/>
  <c r="F6"/>
  <c r="G9" i="7"/>
  <c r="B4" i="6"/>
  <c r="C7"/>
  <c r="E6" s="1"/>
  <c r="H6" i="7"/>
  <c r="I18" i="8" s="1"/>
  <c r="G6" i="7"/>
  <c r="O32" i="8"/>
  <c r="M32"/>
  <c r="M31"/>
  <c r="O31" s="1"/>
  <c r="M30"/>
  <c r="O30" s="1"/>
  <c r="O29"/>
  <c r="M29"/>
  <c r="M28"/>
  <c r="O28" s="1"/>
  <c r="O27"/>
  <c r="M27"/>
  <c r="M26"/>
  <c r="O26" s="1"/>
  <c r="O25"/>
  <c r="M25"/>
  <c r="M24"/>
  <c r="O24" s="1"/>
  <c r="O23"/>
  <c r="M23"/>
  <c r="M22"/>
  <c r="O22" s="1"/>
  <c r="O21"/>
  <c r="M21"/>
  <c r="M20"/>
  <c r="O20" s="1"/>
  <c r="O19"/>
  <c r="M19"/>
  <c r="M18"/>
  <c r="O18" s="1"/>
  <c r="O17"/>
  <c r="M17"/>
  <c r="M16"/>
  <c r="O16" s="1"/>
  <c r="O15"/>
  <c r="M15"/>
  <c r="M14"/>
  <c r="O14" s="1"/>
  <c r="M13"/>
  <c r="O13" s="1"/>
  <c r="C11" i="7"/>
  <c r="C8"/>
  <c r="B8"/>
  <c r="I6"/>
  <c r="B4"/>
  <c r="K2"/>
  <c r="L2" s="1"/>
  <c r="I2"/>
  <c r="G9" i="4"/>
  <c r="G6"/>
  <c r="H6" s="1"/>
  <c r="C11"/>
  <c r="L2" i="2"/>
  <c r="M32" i="5"/>
  <c r="O32" s="1"/>
  <c r="O31"/>
  <c r="M31"/>
  <c r="M30"/>
  <c r="O30" s="1"/>
  <c r="O29"/>
  <c r="M29"/>
  <c r="M28"/>
  <c r="O28" s="1"/>
  <c r="O27"/>
  <c r="M27"/>
  <c r="M26"/>
  <c r="O26" s="1"/>
  <c r="O25"/>
  <c r="M25"/>
  <c r="M24"/>
  <c r="O24" s="1"/>
  <c r="O23"/>
  <c r="M23"/>
  <c r="M22"/>
  <c r="O22" s="1"/>
  <c r="O21"/>
  <c r="M21"/>
  <c r="M20"/>
  <c r="O20" s="1"/>
  <c r="O19"/>
  <c r="M19"/>
  <c r="M18"/>
  <c r="O18" s="1"/>
  <c r="O17"/>
  <c r="M17"/>
  <c r="M16"/>
  <c r="O16" s="1"/>
  <c r="O15"/>
  <c r="M15"/>
  <c r="M14"/>
  <c r="O14" s="1"/>
  <c r="O13"/>
  <c r="M13"/>
  <c r="C8" i="4"/>
  <c r="B8"/>
  <c r="B4"/>
  <c r="M2"/>
  <c r="K2"/>
  <c r="L2" s="1"/>
  <c r="I2"/>
  <c r="G6" i="2"/>
  <c r="H6" s="1"/>
  <c r="G9"/>
  <c r="M14" i="3"/>
  <c r="O14" s="1"/>
  <c r="M15"/>
  <c r="O15" s="1"/>
  <c r="M16"/>
  <c r="O16" s="1"/>
  <c r="M17"/>
  <c r="O17" s="1"/>
  <c r="M18"/>
  <c r="O18" s="1"/>
  <c r="M19"/>
  <c r="O19" s="1"/>
  <c r="M20"/>
  <c r="O20" s="1"/>
  <c r="M21"/>
  <c r="O21" s="1"/>
  <c r="M22"/>
  <c r="O22" s="1"/>
  <c r="M23"/>
  <c r="O23" s="1"/>
  <c r="M24"/>
  <c r="O24" s="1"/>
  <c r="M25"/>
  <c r="O25" s="1"/>
  <c r="M26"/>
  <c r="O26" s="1"/>
  <c r="M27"/>
  <c r="O27" s="1"/>
  <c r="M28"/>
  <c r="O28" s="1"/>
  <c r="M29"/>
  <c r="O29" s="1"/>
  <c r="M30"/>
  <c r="O30" s="1"/>
  <c r="M31"/>
  <c r="O31" s="1"/>
  <c r="M32"/>
  <c r="O32" s="1"/>
  <c r="M13"/>
  <c r="O13" s="1"/>
  <c r="I17" i="5" l="1"/>
  <c r="I21"/>
  <c r="I25"/>
  <c r="I29"/>
  <c r="I16"/>
  <c r="I20"/>
  <c r="I24"/>
  <c r="I28"/>
  <c r="I19"/>
  <c r="I23"/>
  <c r="I27"/>
  <c r="I6" i="4"/>
  <c r="I18" i="5"/>
  <c r="I22"/>
  <c r="I26"/>
  <c r="I9" i="7"/>
  <c r="I22" i="8"/>
  <c r="I26"/>
  <c r="I17"/>
  <c r="I15"/>
  <c r="I27"/>
  <c r="I23"/>
  <c r="I19"/>
  <c r="I28"/>
  <c r="I24"/>
  <c r="I20"/>
  <c r="I16"/>
  <c r="I29"/>
  <c r="I25"/>
  <c r="I21"/>
  <c r="H9" i="7"/>
  <c r="J9" s="1"/>
  <c r="L9"/>
  <c r="K9"/>
  <c r="H9" i="4"/>
  <c r="J9" s="1"/>
  <c r="L9"/>
  <c r="I9"/>
  <c r="K9" s="1"/>
  <c r="F9" i="7"/>
  <c r="K6" s="1"/>
  <c r="J6" s="1"/>
  <c r="M2"/>
  <c r="I15" i="5"/>
  <c r="K6" i="4"/>
  <c r="F9"/>
  <c r="I18" i="3"/>
  <c r="I6" i="2"/>
  <c r="I20" i="3"/>
  <c r="I23"/>
  <c r="I28"/>
  <c r="I24"/>
  <c r="I16"/>
  <c r="I27"/>
  <c r="I19"/>
  <c r="I25"/>
  <c r="I17"/>
  <c r="I29"/>
  <c r="I21"/>
  <c r="I15"/>
  <c r="I26"/>
  <c r="I22"/>
  <c r="K2" i="2"/>
  <c r="I2"/>
  <c r="F9" s="1"/>
  <c r="B4"/>
  <c r="L9" s="1"/>
  <c r="B8"/>
  <c r="C8"/>
  <c r="J18" i="8" l="1"/>
  <c r="N18" s="1"/>
  <c r="P18" s="1"/>
  <c r="J22"/>
  <c r="N22" s="1"/>
  <c r="P22" s="1"/>
  <c r="J26"/>
  <c r="N26" s="1"/>
  <c r="P26" s="1"/>
  <c r="J17"/>
  <c r="N17" s="1"/>
  <c r="P17" s="1"/>
  <c r="J21"/>
  <c r="N21" s="1"/>
  <c r="P21" s="1"/>
  <c r="J25"/>
  <c r="N25" s="1"/>
  <c r="P25" s="1"/>
  <c r="J29"/>
  <c r="N29" s="1"/>
  <c r="P29" s="1"/>
  <c r="J16"/>
  <c r="N16" s="1"/>
  <c r="P16" s="1"/>
  <c r="J20"/>
  <c r="N20" s="1"/>
  <c r="P20" s="1"/>
  <c r="J24"/>
  <c r="N24" s="1"/>
  <c r="P24" s="1"/>
  <c r="J28"/>
  <c r="N28" s="1"/>
  <c r="P28" s="1"/>
  <c r="J19"/>
  <c r="N19" s="1"/>
  <c r="P19" s="1"/>
  <c r="J23"/>
  <c r="J27"/>
  <c r="N27" s="1"/>
  <c r="P27" s="1"/>
  <c r="J15"/>
  <c r="J6" i="4"/>
  <c r="K6" i="2"/>
  <c r="J6" s="1"/>
  <c r="J15" i="3" s="1"/>
  <c r="J15" i="5"/>
  <c r="H9" i="2"/>
  <c r="J9" s="1"/>
  <c r="I9"/>
  <c r="K9" s="1"/>
  <c r="M2"/>
  <c r="A11" i="1"/>
  <c r="J19" i="5" l="1"/>
  <c r="N19" s="1"/>
  <c r="P19" s="1"/>
  <c r="J23"/>
  <c r="J27"/>
  <c r="J18"/>
  <c r="J22"/>
  <c r="J26"/>
  <c r="J17"/>
  <c r="J21"/>
  <c r="J25"/>
  <c r="N25" s="1"/>
  <c r="P25" s="1"/>
  <c r="J29"/>
  <c r="J16"/>
  <c r="J20"/>
  <c r="J24"/>
  <c r="J28"/>
  <c r="I10" i="7"/>
  <c r="K10" s="1"/>
  <c r="N23" i="8"/>
  <c r="P23" s="1"/>
  <c r="L10" i="7"/>
  <c r="H10"/>
  <c r="J10" s="1"/>
  <c r="N15" i="8"/>
  <c r="P15" s="1"/>
  <c r="N22" i="5"/>
  <c r="P22" s="1"/>
  <c r="N26"/>
  <c r="P26" s="1"/>
  <c r="N28"/>
  <c r="P28" s="1"/>
  <c r="N16"/>
  <c r="P16" s="1"/>
  <c r="J21" i="3"/>
  <c r="N21" s="1"/>
  <c r="P21" s="1"/>
  <c r="N29" i="5"/>
  <c r="P29" s="1"/>
  <c r="N27"/>
  <c r="P27" s="1"/>
  <c r="N24"/>
  <c r="P24" s="1"/>
  <c r="N21"/>
  <c r="P21" s="1"/>
  <c r="N20"/>
  <c r="P20" s="1"/>
  <c r="N18"/>
  <c r="P18" s="1"/>
  <c r="N17"/>
  <c r="P17" s="1"/>
  <c r="N15"/>
  <c r="P15" s="1"/>
  <c r="J19" i="3"/>
  <c r="N19" s="1"/>
  <c r="P19" s="1"/>
  <c r="J29"/>
  <c r="N29" s="1"/>
  <c r="P29" s="1"/>
  <c r="J17"/>
  <c r="N17" s="1"/>
  <c r="P17" s="1"/>
  <c r="J26"/>
  <c r="N26" s="1"/>
  <c r="P26" s="1"/>
  <c r="J22"/>
  <c r="N22" s="1"/>
  <c r="P22" s="1"/>
  <c r="J24"/>
  <c r="N24" s="1"/>
  <c r="P24" s="1"/>
  <c r="J25"/>
  <c r="N25" s="1"/>
  <c r="P25" s="1"/>
  <c r="J23"/>
  <c r="J20"/>
  <c r="N20" s="1"/>
  <c r="P20" s="1"/>
  <c r="J27"/>
  <c r="N27" s="1"/>
  <c r="P27" s="1"/>
  <c r="J16"/>
  <c r="N16" s="1"/>
  <c r="P16" s="1"/>
  <c r="J18"/>
  <c r="N18" s="1"/>
  <c r="P18" s="1"/>
  <c r="J28"/>
  <c r="N28" s="1"/>
  <c r="P28" s="1"/>
  <c r="H10" i="4" l="1"/>
  <c r="J10" s="1"/>
  <c r="N23" i="5"/>
  <c r="P23" s="1"/>
  <c r="L10" i="4"/>
  <c r="I10"/>
  <c r="K10" s="1"/>
  <c r="H10" i="2"/>
  <c r="J10" s="1"/>
  <c r="N15" i="3"/>
  <c r="P15" s="1"/>
  <c r="L10" i="2"/>
  <c r="N23" i="3"/>
  <c r="P23" s="1"/>
  <c r="I10" i="2"/>
  <c r="K10" s="1"/>
</calcChain>
</file>

<file path=xl/comments1.xml><?xml version="1.0" encoding="utf-8"?>
<comments xmlns="http://schemas.openxmlformats.org/spreadsheetml/2006/main">
  <authors>
    <author>Kazu</author>
  </authors>
  <commentList>
    <comment ref="F5" authorId="0">
      <text>
        <r>
          <rPr>
            <b/>
            <sz val="9"/>
            <color indexed="81"/>
            <rFont val="Tahoma"/>
            <family val="2"/>
          </rPr>
          <t>Kazu:</t>
        </r>
        <r>
          <rPr>
            <sz val="9"/>
            <color indexed="81"/>
            <rFont val="Tahoma"/>
            <family val="2"/>
          </rPr>
          <t xml:space="preserve">
Assume (Alpha takeoff) = 10 deg</t>
        </r>
      </text>
    </comment>
  </commentList>
</comments>
</file>

<file path=xl/sharedStrings.xml><?xml version="1.0" encoding="utf-8"?>
<sst xmlns="http://schemas.openxmlformats.org/spreadsheetml/2006/main" count="298" uniqueCount="83">
  <si>
    <t>V (ft/s)</t>
  </si>
  <si>
    <t>Re</t>
  </si>
  <si>
    <t>Viscosity (slugs/ft*s)</t>
  </si>
  <si>
    <r>
      <t>Density (slugs/ft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</si>
  <si>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Temperature</t>
  </si>
  <si>
    <t>Rankin</t>
  </si>
  <si>
    <t>Fahrenheit</t>
  </si>
  <si>
    <t>Speed of Sounds (ft/s)</t>
  </si>
  <si>
    <t>Elevation (Wichita)</t>
  </si>
  <si>
    <t>1300 ft</t>
  </si>
  <si>
    <t>XFOIL</t>
  </si>
  <si>
    <t>Version</t>
  </si>
  <si>
    <t>Calculated</t>
  </si>
  <si>
    <t>polar</t>
  </si>
  <si>
    <t>for:</t>
  </si>
  <si>
    <t>Reynolds</t>
  </si>
  <si>
    <t>number</t>
  </si>
  <si>
    <t>fixed</t>
  </si>
  <si>
    <t>Mach</t>
  </si>
  <si>
    <t>xtrf</t>
  </si>
  <si>
    <t>=</t>
  </si>
  <si>
    <t>(top)</t>
  </si>
  <si>
    <t>(bottom)</t>
  </si>
  <si>
    <t>e</t>
  </si>
  <si>
    <t>alpha</t>
  </si>
  <si>
    <t>CL</t>
  </si>
  <si>
    <t>Top_Xtr</t>
  </si>
  <si>
    <t>Bot_Xtr</t>
  </si>
  <si>
    <t>L/D</t>
  </si>
  <si>
    <t>1/(L/D)</t>
  </si>
  <si>
    <t>------</t>
  </si>
  <si>
    <t>--------</t>
  </si>
  <si>
    <t>---------</t>
  </si>
  <si>
    <t>t/c</t>
  </si>
  <si>
    <t>xac (%)</t>
  </si>
  <si>
    <t>Aspect Ratio</t>
  </si>
  <si>
    <t>Taper Ratio</t>
  </si>
  <si>
    <t>Re #:</t>
  </si>
  <si>
    <t>a</t>
  </si>
  <si>
    <t>a0</t>
  </si>
  <si>
    <t>Cl</t>
  </si>
  <si>
    <t>Cd</t>
  </si>
  <si>
    <t>Cdp</t>
  </si>
  <si>
    <t>Cm</t>
  </si>
  <si>
    <t>Airfoil:</t>
  </si>
  <si>
    <t>Root</t>
  </si>
  <si>
    <t>Tip</t>
  </si>
  <si>
    <t>Chord</t>
  </si>
  <si>
    <t>Thickness</t>
  </si>
  <si>
    <t>Desired Weight (lb):</t>
  </si>
  <si>
    <t>Surface Area</t>
  </si>
  <si>
    <t>Desired Wing Span (ft):</t>
  </si>
  <si>
    <r>
      <t>Density (slug/ft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):</t>
    </r>
  </si>
  <si>
    <r>
      <t>in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</si>
  <si>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</si>
  <si>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t>GOE</t>
  </si>
  <si>
    <t>Linealized Cl</t>
  </si>
  <si>
    <t>CD</t>
  </si>
  <si>
    <t>CM</t>
  </si>
  <si>
    <t>l/d</t>
  </si>
  <si>
    <t>1/(l/d)</t>
  </si>
  <si>
    <t>T/W</t>
  </si>
  <si>
    <t>t/w</t>
  </si>
  <si>
    <t>2D</t>
  </si>
  <si>
    <t>3D</t>
  </si>
  <si>
    <r>
      <t>V</t>
    </r>
    <r>
      <rPr>
        <vertAlign val="subscript"/>
        <sz val="11"/>
        <color theme="1"/>
        <rFont val="Calibri"/>
        <family val="2"/>
        <scheme val="minor"/>
      </rPr>
      <t>stall</t>
    </r>
    <r>
      <rPr>
        <sz val="11"/>
        <color theme="1"/>
        <rFont val="Calibri"/>
        <family val="2"/>
        <scheme val="minor"/>
      </rPr>
      <t xml:space="preserve"> (ft/s)</t>
    </r>
  </si>
  <si>
    <r>
      <t>V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 (ft/s)</t>
    </r>
  </si>
  <si>
    <r>
      <t xml:space="preserve">Lift </t>
    </r>
    <r>
      <rPr>
        <vertAlign val="subscript"/>
        <sz val="11"/>
        <color theme="1"/>
        <rFont val="Calibri"/>
        <family val="2"/>
        <scheme val="minor"/>
      </rPr>
      <t xml:space="preserve">takeoff </t>
    </r>
    <r>
      <rPr>
        <sz val="11"/>
        <color theme="1"/>
        <rFont val="Calibri"/>
        <family val="2"/>
        <scheme val="minor"/>
      </rPr>
      <t>(lb)</t>
    </r>
  </si>
  <si>
    <r>
      <t xml:space="preserve">Lift 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(lb)</t>
    </r>
  </si>
  <si>
    <t>Mean Aerodynamic Chord</t>
  </si>
  <si>
    <t>Y bar</t>
  </si>
  <si>
    <t>deg</t>
  </si>
  <si>
    <t>/deg</t>
  </si>
  <si>
    <t>/rad</t>
  </si>
  <si>
    <r>
      <t>Desired V</t>
    </r>
    <r>
      <rPr>
        <vertAlign val="subscript"/>
        <sz val="11"/>
        <color theme="1"/>
        <rFont val="Calibri"/>
        <family val="2"/>
        <scheme val="minor"/>
      </rPr>
      <t>cruise</t>
    </r>
    <r>
      <rPr>
        <sz val="11"/>
        <color theme="1"/>
        <rFont val="Calibri"/>
        <family val="2"/>
        <scheme val="minor"/>
      </rPr>
      <t xml:space="preserve"> (ft/s):</t>
    </r>
  </si>
  <si>
    <r>
      <t xml:space="preserve"> Lift </t>
    </r>
    <r>
      <rPr>
        <vertAlign val="subscript"/>
        <sz val="11"/>
        <color theme="1"/>
        <rFont val="Calibri"/>
        <family val="2"/>
        <scheme val="minor"/>
      </rPr>
      <t>Cruise Desired V</t>
    </r>
    <r>
      <rPr>
        <sz val="11"/>
        <color theme="1"/>
        <rFont val="Calibri"/>
        <family val="2"/>
        <scheme val="minor"/>
      </rPr>
      <t xml:space="preserve"> (lb)</t>
    </r>
  </si>
  <si>
    <t>V(mph)</t>
  </si>
  <si>
    <t>Mach #</t>
  </si>
  <si>
    <t>NACA4418</t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</si>
  <si>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  <scheme val="minor"/>
      </rPr>
      <t>Cl=0</t>
    </r>
  </si>
  <si>
    <t>Sweep Angle</t>
  </si>
  <si>
    <t>rad</t>
  </si>
  <si>
    <t>mph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</si>
</sst>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7" applyNumberFormat="0" applyAlignment="0" applyProtection="0"/>
    <xf numFmtId="0" fontId="12" fillId="6" borderId="8" applyNumberFormat="0" applyAlignment="0" applyProtection="0"/>
    <xf numFmtId="0" fontId="13" fillId="6" borderId="7" applyNumberFormat="0" applyAlignment="0" applyProtection="0"/>
    <xf numFmtId="0" fontId="14" fillId="0" borderId="9" applyNumberFormat="0" applyFill="0" applyAlignment="0" applyProtection="0"/>
    <xf numFmtId="0" fontId="15" fillId="7" borderId="10" applyNumberFormat="0" applyAlignment="0" applyProtection="0"/>
    <xf numFmtId="0" fontId="16" fillId="0" borderId="0" applyNumberFormat="0" applyFill="0" applyBorder="0" applyAlignment="0" applyProtection="0"/>
    <xf numFmtId="0" fontId="3" fillId="8" borderId="1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/>
    <xf numFmtId="0" fontId="0" fillId="0" borderId="0" xfId="0" applyBorder="1" applyAlignment="1"/>
    <xf numFmtId="0" fontId="0" fillId="0" borderId="1" xfId="0" applyNumberFormat="1" applyFill="1" applyBorder="1" applyAlignment="1">
      <alignment horizontal="center"/>
    </xf>
    <xf numFmtId="0" fontId="0" fillId="0" borderId="0" xfId="0"/>
    <xf numFmtId="0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1" xfId="0" applyNumberFormat="1" applyBorder="1" applyAlignment="1"/>
    <xf numFmtId="0" fontId="0" fillId="0" borderId="0" xfId="0" applyNumberFormat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Bay)'!$I$13:$I$32</c:f>
              <c:numCache>
                <c:formatCode>General</c:formatCode>
                <c:ptCount val="20"/>
                <c:pt idx="2">
                  <c:v>2.1027512035010938</c:v>
                </c:pt>
                <c:pt idx="3">
                  <c:v>1.8957198030634572</c:v>
                </c:pt>
                <c:pt idx="4">
                  <c:v>1.6886884026258204</c:v>
                </c:pt>
                <c:pt idx="5">
                  <c:v>1.4816570021881839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94878336"/>
        <c:axId val="95863168"/>
      </c:scatterChart>
      <c:valAx>
        <c:axId val="94878336"/>
        <c:scaling>
          <c:orientation val="minMax"/>
        </c:scaling>
        <c:axPos val="b"/>
        <c:numFmt formatCode="General" sourceLinked="1"/>
        <c:tickLblPos val="nextTo"/>
        <c:crossAx val="95863168"/>
        <c:crosses val="autoZero"/>
        <c:crossBetween val="midCat"/>
      </c:valAx>
      <c:valAx>
        <c:axId val="95863168"/>
        <c:scaling>
          <c:orientation val="minMax"/>
        </c:scaling>
        <c:axPos val="l"/>
        <c:majorGridlines/>
        <c:numFmt formatCode="General" sourceLinked="1"/>
        <c:tickLblPos val="nextTo"/>
        <c:crossAx val="94878336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Bay)'!$K$13:$K$32</c:f>
              <c:numCache>
                <c:formatCode>General</c:formatCode>
                <c:ptCount val="20"/>
              </c:numCache>
            </c:numRef>
          </c:yVal>
          <c:smooth val="1"/>
        </c:ser>
        <c:axId val="102831232"/>
        <c:axId val="102832768"/>
      </c:scatterChart>
      <c:valAx>
        <c:axId val="102831232"/>
        <c:scaling>
          <c:orientation val="minMax"/>
        </c:scaling>
        <c:axPos val="b"/>
        <c:numFmt formatCode="General" sourceLinked="1"/>
        <c:tickLblPos val="nextTo"/>
        <c:crossAx val="102832768"/>
        <c:crosses val="autoZero"/>
        <c:crossBetween val="midCat"/>
      </c:valAx>
      <c:valAx>
        <c:axId val="102832768"/>
        <c:scaling>
          <c:orientation val="minMax"/>
        </c:scaling>
        <c:axPos val="l"/>
        <c:majorGridlines/>
        <c:numFmt formatCode="General" sourceLinked="1"/>
        <c:tickLblPos val="nextTo"/>
        <c:crossAx val="102831232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7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203E-2"/>
          <c:w val="0.87469230788477481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'Aero. Chract. (Payload Bay)'!$B$13:$B$32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Bay)'!$K$13:$K$32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102870016"/>
        <c:axId val="102880000"/>
      </c:scatterChart>
      <c:valAx>
        <c:axId val="102870016"/>
        <c:scaling>
          <c:orientation val="minMax"/>
        </c:scaling>
        <c:axPos val="b"/>
        <c:numFmt formatCode="General" sourceLinked="1"/>
        <c:tickLblPos val="nextTo"/>
        <c:crossAx val="102880000"/>
        <c:crosses val="autoZero"/>
        <c:crossBetween val="midCat"/>
      </c:valAx>
      <c:valAx>
        <c:axId val="102880000"/>
        <c:scaling>
          <c:orientation val="minMax"/>
        </c:scaling>
        <c:axPos val="l"/>
        <c:majorGridlines/>
        <c:numFmt formatCode="General" sourceLinked="1"/>
        <c:tickLblPos val="nextTo"/>
        <c:crossAx val="10287001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Bay)'!$M$13:$M$32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Bay)'!$N$13:$N$32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106701952"/>
        <c:axId val="106703488"/>
      </c:scatterChart>
      <c:valAx>
        <c:axId val="106701952"/>
        <c:scaling>
          <c:orientation val="minMax"/>
        </c:scaling>
        <c:axPos val="b"/>
        <c:numFmt formatCode="General" sourceLinked="1"/>
        <c:tickLblPos val="nextTo"/>
        <c:crossAx val="106703488"/>
        <c:crosses val="autoZero"/>
        <c:crossBetween val="midCat"/>
      </c:valAx>
      <c:valAx>
        <c:axId val="106703488"/>
        <c:scaling>
          <c:orientation val="minMax"/>
        </c:scaling>
        <c:axPos val="l"/>
        <c:majorGridlines/>
        <c:numFmt formatCode="General" sourceLinked="1"/>
        <c:tickLblPos val="nextTo"/>
        <c:crossAx val="10670195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858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Bay)'!$E$13:$E$32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'Aero. Chract. (Payload Bay)'!$B$13:$B$32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Bay)'!$L$13:$L$32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106728448"/>
        <c:axId val="106746624"/>
      </c:scatterChart>
      <c:valAx>
        <c:axId val="106728448"/>
        <c:scaling>
          <c:orientation val="minMax"/>
        </c:scaling>
        <c:axPos val="b"/>
        <c:numFmt formatCode="General" sourceLinked="1"/>
        <c:tickLblPos val="nextTo"/>
        <c:crossAx val="106746624"/>
        <c:crosses val="autoZero"/>
        <c:crossBetween val="midCat"/>
      </c:valAx>
      <c:valAx>
        <c:axId val="106746624"/>
        <c:scaling>
          <c:orientation val="minMax"/>
        </c:scaling>
        <c:axPos val="l"/>
        <c:majorGridlines/>
        <c:numFmt formatCode="General" sourceLinked="1"/>
        <c:tickLblPos val="nextTo"/>
        <c:crossAx val="106728448"/>
        <c:crosses val="autoZero"/>
        <c:crossBetween val="midCat"/>
      </c:valAx>
    </c:plotArea>
    <c:legend>
      <c:legendPos val="l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Bay)'!$O$13:$O$32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Bay)'!$P$13:$P$32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95896704"/>
        <c:axId val="95898240"/>
      </c:scatterChart>
      <c:valAx>
        <c:axId val="95896704"/>
        <c:scaling>
          <c:orientation val="minMax"/>
        </c:scaling>
        <c:axPos val="b"/>
        <c:numFmt formatCode="General" sourceLinked="1"/>
        <c:tickLblPos val="nextTo"/>
        <c:crossAx val="95898240"/>
        <c:crosses val="autoZero"/>
        <c:crossBetween val="midCat"/>
      </c:valAx>
      <c:valAx>
        <c:axId val="95898240"/>
        <c:scaling>
          <c:orientation val="minMax"/>
        </c:scaling>
        <c:axPos val="l"/>
        <c:majorGridlines/>
        <c:numFmt formatCode="General" sourceLinked="1"/>
        <c:tickLblPos val="nextTo"/>
        <c:crossAx val="95896704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(Bar)'!$A$13:$A$32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(Bar)'!$B$13:$B$32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(Bar)'!$A$13:$A$32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(Bar)'!$J$13:$J$32</c:f>
              <c:numCache>
                <c:formatCode>General</c:formatCode>
                <c:ptCount val="20"/>
                <c:pt idx="2">
                  <c:v>1.6984632158594852</c:v>
                </c:pt>
                <c:pt idx="3">
                  <c:v>1.5312369564780965</c:v>
                </c:pt>
                <c:pt idx="4">
                  <c:v>1.3640106970967076</c:v>
                </c:pt>
                <c:pt idx="5">
                  <c:v>1.1967844377153189</c:v>
                </c:pt>
                <c:pt idx="6">
                  <c:v>1.0295581783339303</c:v>
                </c:pt>
                <c:pt idx="7">
                  <c:v>0.86233191895254147</c:v>
                </c:pt>
                <c:pt idx="8">
                  <c:v>0.69510565957115267</c:v>
                </c:pt>
                <c:pt idx="9">
                  <c:v>0.52787940018976387</c:v>
                </c:pt>
                <c:pt idx="10">
                  <c:v>0.36065314080837507</c:v>
                </c:pt>
                <c:pt idx="11">
                  <c:v>0.19342688142698627</c:v>
                </c:pt>
                <c:pt idx="12">
                  <c:v>2.6200622045597512E-2</c:v>
                </c:pt>
                <c:pt idx="13">
                  <c:v>-0.14102563733579127</c:v>
                </c:pt>
                <c:pt idx="14">
                  <c:v>-0.30825189671718001</c:v>
                </c:pt>
                <c:pt idx="15">
                  <c:v>-0.4754781560985688</c:v>
                </c:pt>
                <c:pt idx="16">
                  <c:v>-0.6427044154799576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'Aero. Chract. (Bar)'!$A$13:$A$32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(Bar)'!$I$13:$I$32</c:f>
              <c:numCache>
                <c:formatCode>General</c:formatCode>
                <c:ptCount val="20"/>
                <c:pt idx="2">
                  <c:v>2.1027512035010938</c:v>
                </c:pt>
                <c:pt idx="3">
                  <c:v>1.8957198030634572</c:v>
                </c:pt>
                <c:pt idx="4">
                  <c:v>1.6886884026258204</c:v>
                </c:pt>
                <c:pt idx="5">
                  <c:v>1.4816570021881839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53487488"/>
        <c:axId val="52908416"/>
      </c:scatterChart>
      <c:valAx>
        <c:axId val="53487488"/>
        <c:scaling>
          <c:orientation val="minMax"/>
        </c:scaling>
        <c:axPos val="b"/>
        <c:numFmt formatCode="General" sourceLinked="1"/>
        <c:tickLblPos val="nextTo"/>
        <c:crossAx val="52908416"/>
        <c:crosses val="autoZero"/>
        <c:crossBetween val="midCat"/>
      </c:valAx>
      <c:valAx>
        <c:axId val="52908416"/>
        <c:scaling>
          <c:orientation val="minMax"/>
        </c:scaling>
        <c:axPos val="l"/>
        <c:majorGridlines/>
        <c:numFmt formatCode="General" sourceLinked="1"/>
        <c:tickLblPos val="nextTo"/>
        <c:crossAx val="53487488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(Bar)'!$A$13:$A$32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(Bar)'!$C$13:$C$32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Bay)'!$K$13:$K$32</c:f>
              <c:numCache>
                <c:formatCode>General</c:formatCode>
                <c:ptCount val="20"/>
              </c:numCache>
            </c:numRef>
          </c:yVal>
          <c:smooth val="1"/>
        </c:ser>
        <c:axId val="52941184"/>
        <c:axId val="52942720"/>
      </c:scatterChart>
      <c:valAx>
        <c:axId val="52941184"/>
        <c:scaling>
          <c:orientation val="minMax"/>
        </c:scaling>
        <c:axPos val="b"/>
        <c:numFmt formatCode="General" sourceLinked="1"/>
        <c:tickLblPos val="nextTo"/>
        <c:crossAx val="52942720"/>
        <c:crosses val="autoZero"/>
        <c:crossBetween val="midCat"/>
      </c:valAx>
      <c:valAx>
        <c:axId val="52942720"/>
        <c:scaling>
          <c:orientation val="minMax"/>
        </c:scaling>
        <c:axPos val="l"/>
        <c:majorGridlines/>
        <c:numFmt formatCode="General" sourceLinked="1"/>
        <c:tickLblPos val="nextTo"/>
        <c:crossAx val="52941184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722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221E-2"/>
          <c:w val="0.87469230788477503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(Bar)'!$C$13:$C$32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'Aero. Chract. (Bar)'!$B$13:$B$32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Bay)'!$K$13:$K$32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52959488"/>
        <c:axId val="52973568"/>
      </c:scatterChart>
      <c:valAx>
        <c:axId val="52959488"/>
        <c:scaling>
          <c:orientation val="minMax"/>
        </c:scaling>
        <c:axPos val="b"/>
        <c:numFmt formatCode="General" sourceLinked="1"/>
        <c:tickLblPos val="nextTo"/>
        <c:crossAx val="52973568"/>
        <c:crosses val="autoZero"/>
        <c:crossBetween val="midCat"/>
      </c:valAx>
      <c:valAx>
        <c:axId val="52973568"/>
        <c:scaling>
          <c:orientation val="minMax"/>
        </c:scaling>
        <c:axPos val="l"/>
        <c:majorGridlines/>
        <c:numFmt formatCode="General" sourceLinked="1"/>
        <c:tickLblPos val="nextTo"/>
        <c:crossAx val="529594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Bay)'!$M$13:$M$32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Bay)'!$N$13:$N$32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53010816"/>
        <c:axId val="53012352"/>
      </c:scatterChart>
      <c:valAx>
        <c:axId val="53010816"/>
        <c:scaling>
          <c:orientation val="minMax"/>
        </c:scaling>
        <c:axPos val="b"/>
        <c:numFmt formatCode="General" sourceLinked="1"/>
        <c:tickLblPos val="nextTo"/>
        <c:crossAx val="53012352"/>
        <c:crosses val="autoZero"/>
        <c:crossBetween val="midCat"/>
      </c:valAx>
      <c:valAx>
        <c:axId val="53012352"/>
        <c:scaling>
          <c:orientation val="minMax"/>
        </c:scaling>
        <c:axPos val="l"/>
        <c:majorGridlines/>
        <c:numFmt formatCode="General" sourceLinked="1"/>
        <c:tickLblPos val="nextTo"/>
        <c:crossAx val="530108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865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(Bar)'!$E$13:$E$32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'Aero. Chract. (Bar)'!$B$13:$B$32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Bay)'!$L$13:$L$32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53893376"/>
        <c:axId val="53895168"/>
      </c:scatterChart>
      <c:valAx>
        <c:axId val="53893376"/>
        <c:scaling>
          <c:orientation val="minMax"/>
        </c:scaling>
        <c:axPos val="b"/>
        <c:numFmt formatCode="General" sourceLinked="1"/>
        <c:tickLblPos val="nextTo"/>
        <c:crossAx val="53895168"/>
        <c:crosses val="autoZero"/>
        <c:crossBetween val="midCat"/>
      </c:valAx>
      <c:valAx>
        <c:axId val="53895168"/>
        <c:scaling>
          <c:orientation val="minMax"/>
        </c:scaling>
        <c:axPos val="l"/>
        <c:majorGridlines/>
        <c:numFmt formatCode="General" sourceLinked="1"/>
        <c:tickLblPos val="nextTo"/>
        <c:crossAx val="53893376"/>
        <c:crosses val="autoZero"/>
        <c:crossBetween val="midCat"/>
      </c:valAx>
    </c:plotArea>
    <c:legend>
      <c:legendPos val="l"/>
      <c:layout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Bay)'!$O$13:$O$32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Bay)'!$P$13:$P$32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53928320"/>
        <c:axId val="53929856"/>
      </c:scatterChart>
      <c:valAx>
        <c:axId val="53928320"/>
        <c:scaling>
          <c:orientation val="minMax"/>
        </c:scaling>
        <c:axPos val="b"/>
        <c:numFmt formatCode="General" sourceLinked="1"/>
        <c:tickLblPos val="nextTo"/>
        <c:crossAx val="53929856"/>
        <c:crosses val="autoZero"/>
        <c:crossBetween val="midCat"/>
      </c:valAx>
      <c:valAx>
        <c:axId val="53929856"/>
        <c:scaling>
          <c:orientation val="minMax"/>
        </c:scaling>
        <c:axPos val="l"/>
        <c:majorGridlines/>
        <c:numFmt formatCode="General" sourceLinked="1"/>
        <c:tickLblPos val="nextTo"/>
        <c:crossAx val="53928320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(Trap.)'!$A$13:$A$32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(Trap.)'!$B$13:$B$32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(Trap.)'!$A$13:$A$32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(Trap.)'!$J$13:$J$32</c:f>
              <c:numCache>
                <c:formatCode>General</c:formatCode>
                <c:ptCount val="20"/>
                <c:pt idx="2">
                  <c:v>0.51952579700640522</c:v>
                </c:pt>
                <c:pt idx="3">
                  <c:v>0.46837464173010318</c:v>
                </c:pt>
                <c:pt idx="4">
                  <c:v>0.41722348645380114</c:v>
                </c:pt>
                <c:pt idx="5">
                  <c:v>0.3660723311774991</c:v>
                </c:pt>
                <c:pt idx="6">
                  <c:v>0.31492117590119706</c:v>
                </c:pt>
                <c:pt idx="7">
                  <c:v>0.26377002062489502</c:v>
                </c:pt>
                <c:pt idx="8">
                  <c:v>0.21261886534859298</c:v>
                </c:pt>
                <c:pt idx="9">
                  <c:v>0.16146771007229091</c:v>
                </c:pt>
                <c:pt idx="10">
                  <c:v>0.11031655479598886</c:v>
                </c:pt>
                <c:pt idx="11">
                  <c:v>5.9165399519686801E-2</c:v>
                </c:pt>
                <c:pt idx="12">
                  <c:v>8.0142442433847553E-3</c:v>
                </c:pt>
                <c:pt idx="13">
                  <c:v>-4.3136911032917294E-2</c:v>
                </c:pt>
                <c:pt idx="14">
                  <c:v>-9.4288066309219334E-2</c:v>
                </c:pt>
                <c:pt idx="15">
                  <c:v>-0.14543922158552139</c:v>
                </c:pt>
                <c:pt idx="16">
                  <c:v>-0.19659037686182343</c:v>
                </c:pt>
              </c:numCache>
            </c:numRef>
          </c:yVal>
          <c:smooth val="1"/>
        </c:ser>
        <c:ser>
          <c:idx val="1"/>
          <c:order val="2"/>
          <c:tx>
            <c:v>2D Linearized</c:v>
          </c:tx>
          <c:marker>
            <c:symbol val="none"/>
          </c:marker>
          <c:xVal>
            <c:numRef>
              <c:f>'Aero. Chract. (Trap.)'!$A$13:$A$32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(Trap.)'!$I$13:$I$32</c:f>
              <c:numCache>
                <c:formatCode>General</c:formatCode>
                <c:ptCount val="20"/>
                <c:pt idx="2">
                  <c:v>2.1027512035010938</c:v>
                </c:pt>
                <c:pt idx="3">
                  <c:v>1.8957198030634572</c:v>
                </c:pt>
                <c:pt idx="4">
                  <c:v>1.6886884026258204</c:v>
                </c:pt>
                <c:pt idx="5">
                  <c:v>1.4816570021881839</c:v>
                </c:pt>
                <c:pt idx="6">
                  <c:v>1.2746256017505471</c:v>
                </c:pt>
                <c:pt idx="7">
                  <c:v>1.0675942013129103</c:v>
                </c:pt>
                <c:pt idx="8">
                  <c:v>0.86056280087527359</c:v>
                </c:pt>
                <c:pt idx="9">
                  <c:v>0.65353140043763669</c:v>
                </c:pt>
                <c:pt idx="10">
                  <c:v>0.44649999999999995</c:v>
                </c:pt>
                <c:pt idx="11">
                  <c:v>0.23946859956236324</c:v>
                </c:pt>
                <c:pt idx="12">
                  <c:v>3.2437199124726507E-2</c:v>
                </c:pt>
                <c:pt idx="13">
                  <c:v>-0.17459420131291023</c:v>
                </c:pt>
                <c:pt idx="14">
                  <c:v>-0.38162560175054699</c:v>
                </c:pt>
                <c:pt idx="15">
                  <c:v>-0.58865700218818373</c:v>
                </c:pt>
                <c:pt idx="16">
                  <c:v>-0.79568840262582041</c:v>
                </c:pt>
              </c:numCache>
            </c:numRef>
          </c:yVal>
          <c:smooth val="1"/>
        </c:ser>
        <c:axId val="60278272"/>
        <c:axId val="60279808"/>
      </c:scatterChart>
      <c:valAx>
        <c:axId val="60278272"/>
        <c:scaling>
          <c:orientation val="minMax"/>
        </c:scaling>
        <c:axPos val="b"/>
        <c:numFmt formatCode="General" sourceLinked="1"/>
        <c:tickLblPos val="nextTo"/>
        <c:crossAx val="60279808"/>
        <c:crosses val="autoZero"/>
        <c:crossBetween val="midCat"/>
      </c:valAx>
      <c:valAx>
        <c:axId val="60279808"/>
        <c:scaling>
          <c:orientation val="minMax"/>
        </c:scaling>
        <c:axPos val="l"/>
        <c:majorGridlines/>
        <c:numFmt formatCode="General" sourceLinked="1"/>
        <c:tickLblPos val="nextTo"/>
        <c:crossAx val="60278272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 vs AOA</a:t>
            </a:r>
          </a:p>
        </c:rich>
      </c:tx>
      <c:layout/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(Trap.)'!$A$13:$A$32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(Trap.)'!$C$13:$C$32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Bay)'!$K$13:$K$32</c:f>
              <c:numCache>
                <c:formatCode>General</c:formatCode>
                <c:ptCount val="20"/>
              </c:numCache>
            </c:numRef>
          </c:yVal>
          <c:smooth val="1"/>
        </c:ser>
        <c:axId val="58621952"/>
        <c:axId val="58623488"/>
      </c:scatterChart>
      <c:valAx>
        <c:axId val="58621952"/>
        <c:scaling>
          <c:orientation val="minMax"/>
        </c:scaling>
        <c:axPos val="b"/>
        <c:numFmt formatCode="General" sourceLinked="1"/>
        <c:tickLblPos val="nextTo"/>
        <c:crossAx val="58623488"/>
        <c:crosses val="autoZero"/>
        <c:crossBetween val="midCat"/>
      </c:valAx>
      <c:valAx>
        <c:axId val="58623488"/>
        <c:scaling>
          <c:orientation val="minMax"/>
        </c:scaling>
        <c:axPos val="l"/>
        <c:majorGridlines/>
        <c:numFmt formatCode="General" sourceLinked="1"/>
        <c:tickLblPos val="nextTo"/>
        <c:crossAx val="58621952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Cd</a:t>
            </a:r>
          </a:p>
        </c:rich>
      </c:tx>
      <c:layout>
        <c:manualLayout>
          <c:xMode val="edge"/>
          <c:yMode val="edge"/>
          <c:x val="0.73670928954393744"/>
          <c:y val="4.0920716112531993E-2"/>
        </c:manualLayout>
      </c:layout>
      <c:overlay val="1"/>
    </c:title>
    <c:plotArea>
      <c:layout>
        <c:manualLayout>
          <c:layoutTarget val="inner"/>
          <c:xMode val="edge"/>
          <c:yMode val="edge"/>
          <c:x val="4.0039232464864676E-2"/>
          <c:y val="2.8800310467028238E-2"/>
          <c:w val="0.87469230788477526"/>
          <c:h val="0.93721131162106686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(Trap.)'!$C$13:$C$32</c:f>
              <c:numCache>
                <c:formatCode>General</c:formatCode>
                <c:ptCount val="20"/>
                <c:pt idx="0">
                  <c:v>0.11448999999999999</c:v>
                </c:pt>
                <c:pt idx="1">
                  <c:v>8.7069999999999995E-2</c:v>
                </c:pt>
                <c:pt idx="2">
                  <c:v>5.91E-2</c:v>
                </c:pt>
                <c:pt idx="3">
                  <c:v>3.7740000000000003E-2</c:v>
                </c:pt>
                <c:pt idx="4">
                  <c:v>2.5770000000000001E-2</c:v>
                </c:pt>
                <c:pt idx="5">
                  <c:v>2.0129999999999999E-2</c:v>
                </c:pt>
                <c:pt idx="6">
                  <c:v>1.7479999999999999E-2</c:v>
                </c:pt>
                <c:pt idx="7">
                  <c:v>1.5559999999999999E-2</c:v>
                </c:pt>
                <c:pt idx="8">
                  <c:v>1.3809999999999999E-2</c:v>
                </c:pt>
                <c:pt idx="9">
                  <c:v>1.2579999999999999E-2</c:v>
                </c:pt>
                <c:pt idx="10">
                  <c:v>1.159E-2</c:v>
                </c:pt>
                <c:pt idx="11">
                  <c:v>1.278E-2</c:v>
                </c:pt>
                <c:pt idx="12">
                  <c:v>1.417E-2</c:v>
                </c:pt>
                <c:pt idx="13">
                  <c:v>1.6750000000000001E-2</c:v>
                </c:pt>
                <c:pt idx="14">
                  <c:v>2.0979999999999999E-2</c:v>
                </c:pt>
                <c:pt idx="15">
                  <c:v>2.7470000000000001E-2</c:v>
                </c:pt>
                <c:pt idx="16">
                  <c:v>3.7560000000000003E-2</c:v>
                </c:pt>
                <c:pt idx="17">
                  <c:v>5.4539999999999998E-2</c:v>
                </c:pt>
                <c:pt idx="18">
                  <c:v>0.16083</c:v>
                </c:pt>
                <c:pt idx="19">
                  <c:v>0.17191000000000001</c:v>
                </c:pt>
              </c:numCache>
            </c:numRef>
          </c:xVal>
          <c:yVal>
            <c:numRef>
              <c:f>'Aero. Chract. (Trap.)'!$B$13:$B$32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Bay)'!$K$13:$K$32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60426112"/>
        <c:axId val="60427648"/>
      </c:scatterChart>
      <c:valAx>
        <c:axId val="60426112"/>
        <c:scaling>
          <c:orientation val="minMax"/>
        </c:scaling>
        <c:axPos val="b"/>
        <c:numFmt formatCode="General" sourceLinked="1"/>
        <c:tickLblPos val="nextTo"/>
        <c:crossAx val="60427648"/>
        <c:crosses val="autoZero"/>
        <c:crossBetween val="midCat"/>
      </c:valAx>
      <c:valAx>
        <c:axId val="60427648"/>
        <c:scaling>
          <c:orientation val="minMax"/>
        </c:scaling>
        <c:axPos val="l"/>
        <c:majorGridlines/>
        <c:numFmt formatCode="General" sourceLinked="1"/>
        <c:tickLblPos val="nextTo"/>
        <c:crossAx val="604261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L/D vs AOA</a:t>
            </a:r>
          </a:p>
        </c:rich>
      </c:tx>
    </c:title>
    <c:plotArea>
      <c:layout/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Bay)'!$M$13:$M$32</c:f>
              <c:numCache>
                <c:formatCode>General</c:formatCode>
                <c:ptCount val="20"/>
                <c:pt idx="0">
                  <c:v>12.669228753602935</c:v>
                </c:pt>
                <c:pt idx="1">
                  <c:v>16.903640748822788</c:v>
                </c:pt>
                <c:pt idx="2">
                  <c:v>25.578680203045685</c:v>
                </c:pt>
                <c:pt idx="3">
                  <c:v>40.450450450450447</c:v>
                </c:pt>
                <c:pt idx="4">
                  <c:v>57.819169577027552</c:v>
                </c:pt>
                <c:pt idx="5">
                  <c:v>69.662195727769515</c:v>
                </c:pt>
                <c:pt idx="6">
                  <c:v>73.106407322654462</c:v>
                </c:pt>
                <c:pt idx="7">
                  <c:v>71.381748071979445</c:v>
                </c:pt>
                <c:pt idx="8">
                  <c:v>67.407675597393194</c:v>
                </c:pt>
                <c:pt idx="9">
                  <c:v>56.096979332273456</c:v>
                </c:pt>
                <c:pt idx="10">
                  <c:v>38.524590163934427</c:v>
                </c:pt>
                <c:pt idx="11">
                  <c:v>19.342723004694836</c:v>
                </c:pt>
                <c:pt idx="12">
                  <c:v>2.3429781227946367</c:v>
                </c:pt>
                <c:pt idx="13">
                  <c:v>-10.66865671641791</c:v>
                </c:pt>
                <c:pt idx="14">
                  <c:v>-19.523355576739753</c:v>
                </c:pt>
                <c:pt idx="15">
                  <c:v>-24.437568256279576</c:v>
                </c:pt>
                <c:pt idx="16">
                  <c:v>-23.554313099041533</c:v>
                </c:pt>
                <c:pt idx="17">
                  <c:v>-14.928492849284929</c:v>
                </c:pt>
                <c:pt idx="18">
                  <c:v>-1.4014798234160293</c:v>
                </c:pt>
                <c:pt idx="19">
                  <c:v>-1.2820661974288872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Bay)'!$N$13:$N$32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60469248"/>
        <c:axId val="60470784"/>
      </c:scatterChart>
      <c:valAx>
        <c:axId val="60469248"/>
        <c:scaling>
          <c:orientation val="minMax"/>
        </c:scaling>
        <c:axPos val="b"/>
        <c:numFmt formatCode="General" sourceLinked="1"/>
        <c:tickLblPos val="nextTo"/>
        <c:crossAx val="60470784"/>
        <c:crosses val="autoZero"/>
        <c:crossBetween val="midCat"/>
      </c:valAx>
      <c:valAx>
        <c:axId val="60470784"/>
        <c:scaling>
          <c:orientation val="minMax"/>
        </c:scaling>
        <c:axPos val="l"/>
        <c:majorGridlines/>
        <c:numFmt formatCode="General" sourceLinked="1"/>
        <c:tickLblPos val="nextTo"/>
        <c:crossAx val="6046924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Cl vs Cm</a:t>
            </a:r>
          </a:p>
        </c:rich>
      </c:tx>
      <c:layout>
        <c:manualLayout>
          <c:xMode val="edge"/>
          <c:yMode val="edge"/>
          <c:x val="1.8524173027989872E-2"/>
          <c:y val="4.0404040404040414E-2"/>
        </c:manualLayout>
      </c:layout>
    </c:title>
    <c:plotArea>
      <c:layout>
        <c:manualLayout>
          <c:layoutTarget val="inner"/>
          <c:xMode val="edge"/>
          <c:yMode val="edge"/>
          <c:x val="0.24332155477031803"/>
          <c:y val="3.8152988608382718E-2"/>
          <c:w val="0.71585394581861017"/>
          <c:h val="0.92369402278323465"/>
        </c:manualLayout>
      </c:layout>
      <c:scatterChart>
        <c:scatterStyle val="smoothMarker"/>
        <c:ser>
          <c:idx val="2"/>
          <c:order val="0"/>
          <c:tx>
            <c:v>2D</c:v>
          </c:tx>
          <c:marker>
            <c:symbol val="none"/>
          </c:marker>
          <c:xVal>
            <c:numRef>
              <c:f>'Aero. Chract. (Trap.)'!$E$13:$E$32</c:f>
              <c:numCache>
                <c:formatCode>General</c:formatCode>
                <c:ptCount val="20"/>
                <c:pt idx="0">
                  <c:v>-3.5799999999999998E-2</c:v>
                </c:pt>
                <c:pt idx="1">
                  <c:v>-3.09E-2</c:v>
                </c:pt>
                <c:pt idx="2">
                  <c:v>-3.0800000000000001E-2</c:v>
                </c:pt>
                <c:pt idx="3">
                  <c:v>-3.7900000000000003E-2</c:v>
                </c:pt>
                <c:pt idx="4">
                  <c:v>-5.1999999999999998E-2</c:v>
                </c:pt>
                <c:pt idx="5">
                  <c:v>-6.8599999999999994E-2</c:v>
                </c:pt>
                <c:pt idx="6">
                  <c:v>-8.4699999999999998E-2</c:v>
                </c:pt>
                <c:pt idx="7">
                  <c:v>-9.4600000000000004E-2</c:v>
                </c:pt>
                <c:pt idx="8">
                  <c:v>-0.1026</c:v>
                </c:pt>
                <c:pt idx="9">
                  <c:v>-0.10050000000000001</c:v>
                </c:pt>
                <c:pt idx="10">
                  <c:v>-9.6199999999999994E-2</c:v>
                </c:pt>
                <c:pt idx="11">
                  <c:v>-0.1019</c:v>
                </c:pt>
                <c:pt idx="12">
                  <c:v>-0.10489999999999999</c:v>
                </c:pt>
                <c:pt idx="13">
                  <c:v>-0.1081</c:v>
                </c:pt>
                <c:pt idx="14">
                  <c:v>-0.10730000000000001</c:v>
                </c:pt>
                <c:pt idx="15">
                  <c:v>-9.7299999999999998E-2</c:v>
                </c:pt>
                <c:pt idx="16">
                  <c:v>-8.8499999999999995E-2</c:v>
                </c:pt>
                <c:pt idx="17">
                  <c:v>-9.8699999999999996E-2</c:v>
                </c:pt>
                <c:pt idx="18">
                  <c:v>-4.1399999999999999E-2</c:v>
                </c:pt>
                <c:pt idx="19">
                  <c:v>-4.2200000000000001E-2</c:v>
                </c:pt>
              </c:numCache>
            </c:numRef>
          </c:xVal>
          <c:yVal>
            <c:numRef>
              <c:f>'Aero. Chract. (Trap.)'!$B$13:$B$32</c:f>
              <c:numCache>
                <c:formatCode>General</c:formatCode>
                <c:ptCount val="20"/>
                <c:pt idx="0">
                  <c:v>1.4504999999999999</c:v>
                </c:pt>
                <c:pt idx="1">
                  <c:v>1.4718</c:v>
                </c:pt>
                <c:pt idx="2">
                  <c:v>1.5117</c:v>
                </c:pt>
                <c:pt idx="3">
                  <c:v>1.5266</c:v>
                </c:pt>
                <c:pt idx="4">
                  <c:v>1.49</c:v>
                </c:pt>
                <c:pt idx="5">
                  <c:v>1.4023000000000001</c:v>
                </c:pt>
                <c:pt idx="6">
                  <c:v>1.2779</c:v>
                </c:pt>
                <c:pt idx="7">
                  <c:v>1.1107</c:v>
                </c:pt>
                <c:pt idx="8">
                  <c:v>0.93089999999999995</c:v>
                </c:pt>
                <c:pt idx="9">
                  <c:v>0.70569999999999999</c:v>
                </c:pt>
                <c:pt idx="10">
                  <c:v>0.44650000000000001</c:v>
                </c:pt>
                <c:pt idx="11">
                  <c:v>0.2472</c:v>
                </c:pt>
                <c:pt idx="12">
                  <c:v>3.32E-2</c:v>
                </c:pt>
                <c:pt idx="13">
                  <c:v>-0.1787</c:v>
                </c:pt>
                <c:pt idx="14">
                  <c:v>-0.40960000000000002</c:v>
                </c:pt>
                <c:pt idx="15">
                  <c:v>-0.67130000000000001</c:v>
                </c:pt>
                <c:pt idx="16">
                  <c:v>-0.88470000000000004</c:v>
                </c:pt>
                <c:pt idx="17">
                  <c:v>-0.81420000000000003</c:v>
                </c:pt>
                <c:pt idx="18">
                  <c:v>-0.22539999999999999</c:v>
                </c:pt>
                <c:pt idx="19">
                  <c:v>-0.22040000000000001</c:v>
                </c:pt>
              </c:numCache>
            </c:numRef>
          </c:yVal>
          <c:smooth val="1"/>
        </c:ser>
        <c:ser>
          <c:idx val="0"/>
          <c:order val="1"/>
          <c:tx>
            <c:v>3D</c:v>
          </c:tx>
          <c:marker>
            <c:symbol val="none"/>
          </c:marker>
          <c:xVal>
            <c:numRef>
              <c:f>'Aero. Chract. (Payload Bay)'!$L$13:$L$32</c:f>
              <c:numCache>
                <c:formatCode>General</c:formatCode>
                <c:ptCount val="20"/>
              </c:numCache>
            </c:numRef>
          </c:xVal>
          <c:yVal>
            <c:numRef>
              <c:f>'Aero. Chract. (Payload Bay)'!$J$13:$J$32</c:f>
              <c:numCache>
                <c:formatCode>General</c:formatCode>
                <c:ptCount val="20"/>
                <c:pt idx="2">
                  <c:v>0.96459242991389493</c:v>
                </c:pt>
                <c:pt idx="3">
                  <c:v>0.86962117450140808</c:v>
                </c:pt>
                <c:pt idx="4">
                  <c:v>0.77464991908892111</c:v>
                </c:pt>
                <c:pt idx="5">
                  <c:v>0.67967866367643426</c:v>
                </c:pt>
                <c:pt idx="6">
                  <c:v>0.58470740826394729</c:v>
                </c:pt>
                <c:pt idx="7">
                  <c:v>0.48973615285146038</c:v>
                </c:pt>
                <c:pt idx="8">
                  <c:v>0.39476489743897347</c:v>
                </c:pt>
                <c:pt idx="9">
                  <c:v>0.29979364202648656</c:v>
                </c:pt>
                <c:pt idx="10">
                  <c:v>0.20482238661399962</c:v>
                </c:pt>
                <c:pt idx="11">
                  <c:v>0.10985113120151271</c:v>
                </c:pt>
                <c:pt idx="12">
                  <c:v>1.4879875789025807E-2</c:v>
                </c:pt>
                <c:pt idx="13">
                  <c:v>-8.0091379623461106E-2</c:v>
                </c:pt>
                <c:pt idx="14">
                  <c:v>-0.17506263503594802</c:v>
                </c:pt>
                <c:pt idx="15">
                  <c:v>-0.2700338904484349</c:v>
                </c:pt>
                <c:pt idx="16">
                  <c:v>-0.36500514586092181</c:v>
                </c:pt>
              </c:numCache>
            </c:numRef>
          </c:yVal>
          <c:smooth val="1"/>
        </c:ser>
        <c:axId val="54937472"/>
        <c:axId val="54939008"/>
      </c:scatterChart>
      <c:valAx>
        <c:axId val="54937472"/>
        <c:scaling>
          <c:orientation val="minMax"/>
        </c:scaling>
        <c:axPos val="b"/>
        <c:numFmt formatCode="General" sourceLinked="1"/>
        <c:tickLblPos val="nextTo"/>
        <c:crossAx val="54939008"/>
        <c:crosses val="autoZero"/>
        <c:crossBetween val="midCat"/>
      </c:valAx>
      <c:valAx>
        <c:axId val="54939008"/>
        <c:scaling>
          <c:orientation val="minMax"/>
        </c:scaling>
        <c:axPos val="l"/>
        <c:majorGridlines/>
        <c:numFmt formatCode="General" sourceLinked="1"/>
        <c:tickLblPos val="nextTo"/>
        <c:crossAx val="54937472"/>
        <c:crosses val="autoZero"/>
        <c:crossBetween val="midCat"/>
      </c:valAx>
    </c:plotArea>
    <c:legend>
      <c:legendPos val="l"/>
      <c:layout/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T/W vs AOA</a:t>
            </a:r>
          </a:p>
        </c:rich>
      </c:tx>
    </c:title>
    <c:plotArea>
      <c:layout/>
      <c:scatterChart>
        <c:scatterStyle val="smoothMarker"/>
        <c:ser>
          <c:idx val="0"/>
          <c:order val="0"/>
          <c:tx>
            <c:v>2D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Bay)'!$O$13:$O$32</c:f>
              <c:numCache>
                <c:formatCode>General</c:formatCode>
                <c:ptCount val="20"/>
                <c:pt idx="0">
                  <c:v>7.8931402964494995E-2</c:v>
                </c:pt>
                <c:pt idx="1">
                  <c:v>5.9158853105041438E-2</c:v>
                </c:pt>
                <c:pt idx="2">
                  <c:v>3.9095058543361781E-2</c:v>
                </c:pt>
                <c:pt idx="3">
                  <c:v>2.472160356347439E-2</c:v>
                </c:pt>
                <c:pt idx="4">
                  <c:v>1.729530201342282E-2</c:v>
                </c:pt>
                <c:pt idx="5">
                  <c:v>1.4354988233616198E-2</c:v>
                </c:pt>
                <c:pt idx="6">
                  <c:v>1.3678691603411848E-2</c:v>
                </c:pt>
                <c:pt idx="7">
                  <c:v>1.4009183397857205E-2</c:v>
                </c:pt>
                <c:pt idx="8">
                  <c:v>1.4835105811580191E-2</c:v>
                </c:pt>
                <c:pt idx="9">
                  <c:v>1.7826271786878276E-2</c:v>
                </c:pt>
                <c:pt idx="10">
                  <c:v>2.5957446808510639E-2</c:v>
                </c:pt>
                <c:pt idx="11">
                  <c:v>5.1699029126213589E-2</c:v>
                </c:pt>
                <c:pt idx="12">
                  <c:v>0.42680722891566264</c:v>
                </c:pt>
                <c:pt idx="13">
                  <c:v>-9.3732512590934527E-2</c:v>
                </c:pt>
                <c:pt idx="14">
                  <c:v>-5.1220703124999996E-2</c:v>
                </c:pt>
                <c:pt idx="15">
                  <c:v>-4.0920601817369284E-2</c:v>
                </c:pt>
                <c:pt idx="16">
                  <c:v>-4.2455069515089865E-2</c:v>
                </c:pt>
                <c:pt idx="17">
                  <c:v>-6.6985998526160648E-2</c:v>
                </c:pt>
                <c:pt idx="18">
                  <c:v>-0.71353149955634432</c:v>
                </c:pt>
                <c:pt idx="19">
                  <c:v>-0.77999092558983674</c:v>
                </c:pt>
              </c:numCache>
            </c:numRef>
          </c:yVal>
          <c:smooth val="1"/>
        </c:ser>
        <c:ser>
          <c:idx val="1"/>
          <c:order val="1"/>
          <c:tx>
            <c:v>3D</c:v>
          </c:tx>
          <c:marker>
            <c:symbol val="none"/>
          </c:marker>
          <c:xVal>
            <c:numRef>
              <c:f>'Aero. Chract. (Payload Bay)'!$A$13:$A$32</c:f>
              <c:numCache>
                <c:formatCode>General</c:formatCode>
                <c:ptCount val="2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-6</c:v>
                </c:pt>
                <c:pt idx="14">
                  <c:v>-8</c:v>
                </c:pt>
                <c:pt idx="15">
                  <c:v>-10</c:v>
                </c:pt>
                <c:pt idx="16">
                  <c:v>-12</c:v>
                </c:pt>
                <c:pt idx="17">
                  <c:v>-14</c:v>
                </c:pt>
                <c:pt idx="18">
                  <c:v>-16</c:v>
                </c:pt>
                <c:pt idx="19">
                  <c:v>-18</c:v>
                </c:pt>
              </c:numCache>
            </c:numRef>
          </c:xVal>
          <c:yVal>
            <c:numRef>
              <c:f>'Aero. Chract. (Payload Bay)'!$P$13:$P$32</c:f>
              <c:numCache>
                <c:formatCode>General</c:formatCode>
                <c:ptCount val="20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</c:ser>
        <c:axId val="54980608"/>
        <c:axId val="54982144"/>
      </c:scatterChart>
      <c:valAx>
        <c:axId val="54980608"/>
        <c:scaling>
          <c:orientation val="minMax"/>
        </c:scaling>
        <c:axPos val="b"/>
        <c:numFmt formatCode="General" sourceLinked="1"/>
        <c:tickLblPos val="nextTo"/>
        <c:crossAx val="54982144"/>
        <c:crosses val="autoZero"/>
        <c:crossBetween val="midCat"/>
      </c:valAx>
      <c:valAx>
        <c:axId val="54982144"/>
        <c:scaling>
          <c:orientation val="minMax"/>
        </c:scaling>
        <c:axPos val="l"/>
        <c:majorGridlines/>
        <c:numFmt formatCode="General" sourceLinked="1"/>
        <c:tickLblPos val="nextTo"/>
        <c:crossAx val="54980608"/>
        <c:crosses val="autoZero"/>
        <c:crossBetween val="midCat"/>
      </c:valAx>
    </c:plotArea>
    <c:legend>
      <c:legendPos val="t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5</xdr:col>
      <xdr:colOff>247650</xdr:colOff>
      <xdr:row>40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17</xdr:row>
      <xdr:rowOff>19050</xdr:rowOff>
    </xdr:from>
    <xdr:to>
      <xdr:col>15</xdr:col>
      <xdr:colOff>161926</xdr:colOff>
      <xdr:row>40</xdr:row>
      <xdr:rowOff>142874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304800</xdr:colOff>
      <xdr:row>40</xdr:row>
      <xdr:rowOff>161925</xdr:rowOff>
    </xdr:from>
    <xdr:to>
      <xdr:col>16</xdr:col>
      <xdr:colOff>152400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40</xdr:row>
      <xdr:rowOff>171449</xdr:rowOff>
    </xdr:from>
    <xdr:to>
      <xdr:col>27</xdr:col>
      <xdr:colOff>28574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161925</xdr:rowOff>
    </xdr:from>
    <xdr:to>
      <xdr:col>5</xdr:col>
      <xdr:colOff>285750</xdr:colOff>
      <xdr:row>66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180976</xdr:colOff>
      <xdr:row>17</xdr:row>
      <xdr:rowOff>19050</xdr:rowOff>
    </xdr:from>
    <xdr:to>
      <xdr:col>27</xdr:col>
      <xdr:colOff>28576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A8" sqref="A8"/>
    </sheetView>
  </sheetViews>
  <sheetFormatPr defaultRowHeight="15"/>
  <cols>
    <col min="1" max="1" width="21" style="1" bestFit="1" customWidth="1"/>
    <col min="2" max="2" width="19.5703125" style="1" bestFit="1" customWidth="1"/>
    <col min="3" max="3" width="2.7109375" style="1" customWidth="1"/>
    <col min="4" max="4" width="12" style="1" customWidth="1"/>
    <col min="5" max="8" width="12" style="1" bestFit="1" customWidth="1"/>
    <col min="9" max="16384" width="9.140625" style="1"/>
  </cols>
  <sheetData>
    <row r="1" spans="1:9">
      <c r="A1" s="4" t="s">
        <v>8</v>
      </c>
      <c r="B1" s="4" t="s">
        <v>9</v>
      </c>
    </row>
    <row r="2" spans="1:9">
      <c r="D2" s="17" t="s">
        <v>0</v>
      </c>
      <c r="E2" s="17" t="s">
        <v>76</v>
      </c>
      <c r="F2" s="17" t="s">
        <v>77</v>
      </c>
      <c r="G2" s="17" t="s">
        <v>1</v>
      </c>
      <c r="H2" s="18"/>
      <c r="I2" s="18"/>
    </row>
    <row r="3" spans="1:9">
      <c r="A3" s="19" t="s">
        <v>4</v>
      </c>
      <c r="B3" s="19"/>
      <c r="D3" s="17">
        <v>25</v>
      </c>
      <c r="E3" s="17">
        <v>17.045455</v>
      </c>
      <c r="F3" s="17">
        <v>2.2496441287233857E-2</v>
      </c>
      <c r="G3" s="17">
        <v>210860.46362466764</v>
      </c>
      <c r="H3" s="18"/>
      <c r="I3" s="18"/>
    </row>
    <row r="4" spans="1:9">
      <c r="A4" s="2" t="s">
        <v>5</v>
      </c>
      <c r="B4" s="2" t="s">
        <v>6</v>
      </c>
      <c r="D4" s="17">
        <v>30</v>
      </c>
      <c r="E4" s="17">
        <v>20.454546000000001</v>
      </c>
      <c r="F4" s="17">
        <v>2.6995729544680627E-2</v>
      </c>
      <c r="G4" s="17">
        <v>253032.55634960119</v>
      </c>
      <c r="H4" s="18"/>
      <c r="I4" s="18"/>
    </row>
    <row r="5" spans="1:9">
      <c r="A5" s="2">
        <v>514.05200000000002</v>
      </c>
      <c r="B5" s="2">
        <v>54.381999999999998</v>
      </c>
      <c r="D5" s="17">
        <v>35</v>
      </c>
      <c r="E5" s="17">
        <v>23.863637000000001</v>
      </c>
      <c r="F5" s="17">
        <v>3.1495017802127399E-2</v>
      </c>
      <c r="G5" s="17">
        <v>295204.64907453471</v>
      </c>
      <c r="H5" s="18"/>
      <c r="I5" s="18"/>
    </row>
    <row r="6" spans="1:9">
      <c r="D6" s="17">
        <v>40</v>
      </c>
      <c r="E6" s="17">
        <v>27.272728000000001</v>
      </c>
      <c r="F6" s="17">
        <v>3.5994306059574169E-2</v>
      </c>
      <c r="G6" s="17">
        <v>337376.74179946829</v>
      </c>
      <c r="H6" s="18"/>
      <c r="I6" s="18"/>
    </row>
    <row r="7" spans="1:9" ht="17.25">
      <c r="A7" s="2" t="s">
        <v>3</v>
      </c>
      <c r="B7" s="2" t="s">
        <v>2</v>
      </c>
      <c r="D7" s="17">
        <v>45</v>
      </c>
      <c r="E7" s="17">
        <v>30.681819000000001</v>
      </c>
      <c r="F7" s="17">
        <v>4.0493594317020945E-2</v>
      </c>
      <c r="G7" s="17">
        <v>379548.83452440181</v>
      </c>
      <c r="H7" s="16"/>
      <c r="I7" s="18"/>
    </row>
    <row r="8" spans="1:9">
      <c r="A8" s="3">
        <v>2.2878199999999999E-3</v>
      </c>
      <c r="B8" s="3">
        <v>3.7106739999999999E-7</v>
      </c>
      <c r="D8" s="17">
        <v>50</v>
      </c>
      <c r="E8" s="17">
        <v>34.090910000000001</v>
      </c>
      <c r="F8" s="17">
        <v>4.4992882574467714E-2</v>
      </c>
      <c r="G8" s="17">
        <v>421720.92724933528</v>
      </c>
      <c r="H8" s="16"/>
      <c r="I8" s="18"/>
    </row>
    <row r="9" spans="1:9">
      <c r="D9" s="17">
        <v>55</v>
      </c>
      <c r="E9" s="17">
        <v>37.500001000000005</v>
      </c>
      <c r="F9" s="17">
        <v>4.9492170831914484E-2</v>
      </c>
      <c r="G9" s="17">
        <v>463893.0199742688</v>
      </c>
      <c r="H9" s="16"/>
      <c r="I9" s="18"/>
    </row>
    <row r="10" spans="1:9">
      <c r="A10" s="2" t="s">
        <v>7</v>
      </c>
      <c r="D10" s="17">
        <v>60</v>
      </c>
      <c r="E10" s="17">
        <v>40.909092000000001</v>
      </c>
      <c r="F10" s="17">
        <v>5.3991459089361253E-2</v>
      </c>
      <c r="G10" s="17">
        <v>506065.11269920238</v>
      </c>
      <c r="H10" s="18"/>
      <c r="I10" s="18"/>
    </row>
    <row r="11" spans="1:9">
      <c r="A11" s="2">
        <f>SQRT(1.4*1716*A5)</f>
        <v>1111.2868778132854</v>
      </c>
      <c r="D11" s="17">
        <v>65</v>
      </c>
      <c r="E11" s="17">
        <v>44.318183000000005</v>
      </c>
      <c r="F11" s="17">
        <v>5.8490747346808029E-2</v>
      </c>
      <c r="G11" s="17">
        <v>548237.2054241359</v>
      </c>
      <c r="H11" s="18"/>
      <c r="I11" s="18"/>
    </row>
    <row r="12" spans="1:9">
      <c r="D12" s="17">
        <v>70</v>
      </c>
      <c r="E12" s="17">
        <v>47.727274000000001</v>
      </c>
      <c r="F12" s="17">
        <v>6.2990035604254799E-2</v>
      </c>
      <c r="G12" s="17">
        <v>590409.29814906942</v>
      </c>
      <c r="H12" s="18"/>
      <c r="I12" s="18"/>
    </row>
    <row r="13" spans="1:9">
      <c r="D13" s="17">
        <v>75</v>
      </c>
      <c r="E13" s="17">
        <v>51.136365000000005</v>
      </c>
      <c r="F13" s="17">
        <v>6.7489323861701575E-2</v>
      </c>
      <c r="G13" s="17">
        <v>632581.39087400294</v>
      </c>
    </row>
    <row r="14" spans="1:9">
      <c r="D14" s="17">
        <v>80</v>
      </c>
      <c r="E14" s="17">
        <v>54.545456000000001</v>
      </c>
      <c r="F14" s="17">
        <v>7.1988612119148337E-2</v>
      </c>
      <c r="G14" s="17">
        <v>674753.48359893658</v>
      </c>
    </row>
    <row r="15" spans="1:9">
      <c r="D15" s="17">
        <v>85</v>
      </c>
      <c r="E15" s="17">
        <v>57.954547000000005</v>
      </c>
      <c r="F15" s="17">
        <v>7.6487900376595114E-2</v>
      </c>
      <c r="G15" s="17">
        <v>716925.57632386999</v>
      </c>
    </row>
    <row r="16" spans="1:9">
      <c r="D16" s="17">
        <v>90</v>
      </c>
      <c r="E16" s="17">
        <v>61.363638000000002</v>
      </c>
      <c r="F16" s="17">
        <v>8.098718863404189E-2</v>
      </c>
      <c r="G16" s="17">
        <v>759097.66904880363</v>
      </c>
    </row>
    <row r="17" spans="4:7">
      <c r="D17" s="17">
        <v>95</v>
      </c>
      <c r="E17" s="17">
        <v>64.772728999999998</v>
      </c>
      <c r="F17" s="17">
        <v>8.5486476891488652E-2</v>
      </c>
      <c r="G17" s="17">
        <v>801269.76177373715</v>
      </c>
    </row>
    <row r="18" spans="4:7">
      <c r="D18" s="17">
        <v>100</v>
      </c>
      <c r="E18" s="17">
        <v>68.181820000000002</v>
      </c>
      <c r="F18" s="17">
        <v>8.9985765148935429E-2</v>
      </c>
      <c r="G18" s="17">
        <v>843441.85449867055</v>
      </c>
    </row>
    <row r="19" spans="4:7">
      <c r="D19" s="17">
        <v>105</v>
      </c>
      <c r="E19" s="17">
        <v>71.590911000000006</v>
      </c>
      <c r="F19" s="17">
        <v>9.4485053406382205E-2</v>
      </c>
      <c r="G19" s="17">
        <v>885613.94722360419</v>
      </c>
    </row>
    <row r="20" spans="4:7">
      <c r="D20" s="17">
        <v>110</v>
      </c>
      <c r="E20" s="17">
        <v>75.000002000000009</v>
      </c>
      <c r="F20" s="17">
        <v>9.8984341663828967E-2</v>
      </c>
      <c r="G20" s="17">
        <v>927786.0399485376</v>
      </c>
    </row>
  </sheetData>
  <mergeCells count="1">
    <mergeCell ref="A3:B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selection activeCell="H9" sqref="H9"/>
    </sheetView>
  </sheetViews>
  <sheetFormatPr defaultRowHeight="15"/>
  <cols>
    <col min="1" max="1" width="16.85546875" style="24" bestFit="1" customWidth="1"/>
    <col min="2" max="2" width="12" style="24" bestFit="1" customWidth="1"/>
    <col min="3" max="3" width="9.140625" style="24"/>
    <col min="4" max="4" width="21.85546875" style="24" bestFit="1" customWidth="1"/>
    <col min="5" max="5" width="12" style="24" bestFit="1" customWidth="1"/>
    <col min="6" max="6" width="9.5703125" style="24" bestFit="1" customWidth="1"/>
    <col min="7" max="7" width="11" style="24" bestFit="1" customWidth="1"/>
    <col min="8" max="8" width="17.7109375" style="24" bestFit="1" customWidth="1"/>
    <col min="9" max="9" width="11.85546875" style="24" bestFit="1" customWidth="1"/>
    <col min="10" max="10" width="11.140625" style="24" bestFit="1" customWidth="1"/>
    <col min="11" max="11" width="17.7109375" style="24" bestFit="1" customWidth="1"/>
    <col min="12" max="12" width="24.28515625" style="24" bestFit="1" customWidth="1"/>
    <col min="13" max="16384" width="9.140625" style="24"/>
  </cols>
  <sheetData>
    <row r="1" spans="1:13">
      <c r="A1" s="17" t="s">
        <v>44</v>
      </c>
      <c r="B1" s="17" t="s">
        <v>78</v>
      </c>
      <c r="C1" s="16"/>
      <c r="D1" s="17" t="s">
        <v>49</v>
      </c>
      <c r="E1" s="17">
        <v>8</v>
      </c>
      <c r="F1" s="16"/>
      <c r="G1" s="16"/>
      <c r="H1" s="23"/>
      <c r="I1" s="23"/>
      <c r="J1" s="23"/>
      <c r="K1" s="23"/>
      <c r="L1" s="16"/>
      <c r="M1" s="16"/>
    </row>
    <row r="2" spans="1:13" ht="18">
      <c r="A2" s="17" t="s">
        <v>37</v>
      </c>
      <c r="B2" s="17">
        <v>250000</v>
      </c>
      <c r="C2" s="16"/>
      <c r="D2" s="17" t="s">
        <v>74</v>
      </c>
      <c r="E2" s="17">
        <v>93.81</v>
      </c>
      <c r="F2" s="16"/>
      <c r="G2" s="16"/>
      <c r="H2" s="16"/>
      <c r="I2" s="16"/>
      <c r="J2" s="16"/>
      <c r="K2" s="16"/>
      <c r="L2" s="16"/>
      <c r="M2" s="16"/>
    </row>
    <row r="3" spans="1:13">
      <c r="A3" s="17" t="s">
        <v>33</v>
      </c>
      <c r="B3" s="17">
        <v>0.18</v>
      </c>
      <c r="C3" s="16"/>
      <c r="D3" s="17" t="s">
        <v>51</v>
      </c>
      <c r="E3" s="17">
        <v>4.5</v>
      </c>
      <c r="F3" s="16"/>
      <c r="G3" s="16"/>
      <c r="H3" s="16"/>
      <c r="I3" s="16"/>
      <c r="J3" s="16"/>
      <c r="K3" s="16"/>
      <c r="L3" s="16"/>
      <c r="M3" s="16"/>
    </row>
    <row r="4" spans="1:13" ht="17.25">
      <c r="A4" s="11" t="s">
        <v>52</v>
      </c>
      <c r="B4" s="17">
        <f>'Standard Atm.'!A8</f>
        <v>2.2878199999999999E-3</v>
      </c>
      <c r="C4" s="16"/>
      <c r="D4" s="16"/>
      <c r="E4" s="16"/>
      <c r="F4" s="16"/>
      <c r="L4" s="16"/>
      <c r="M4" s="16"/>
    </row>
    <row r="5" spans="1:13" ht="18">
      <c r="A5" s="16"/>
      <c r="B5" s="16"/>
      <c r="C5" s="16"/>
      <c r="D5" s="16"/>
      <c r="E5" s="17" t="s">
        <v>35</v>
      </c>
      <c r="F5" s="17" t="s">
        <v>65</v>
      </c>
      <c r="G5" s="17" t="s">
        <v>66</v>
      </c>
      <c r="H5" s="17" t="s">
        <v>75</v>
      </c>
      <c r="J5" s="16"/>
    </row>
    <row r="6" spans="1:13" ht="17.25">
      <c r="A6" s="17"/>
      <c r="B6" s="17" t="s">
        <v>53</v>
      </c>
      <c r="C6" s="17" t="s">
        <v>54</v>
      </c>
      <c r="D6" s="16"/>
      <c r="E6" s="22">
        <f>E3^2/C7</f>
        <v>4.354838709677419</v>
      </c>
      <c r="F6" s="17">
        <f>SQRT((2*$E$1)/($B$4*('Info (Payload Bay)'!$I$2*'Aero. Chract. (Payload Bay)'!$J18+'Info. (Bar)'!$I$2*'Aero. Chract. (Bar)'!$J18+'Info. (Trap.)'!$I$2*'Aero. Chract. (Trap.)'!$J18)))</f>
        <v>51.501498884344997</v>
      </c>
      <c r="G6" s="17">
        <f>SQRT((2*$E$1)/($B$4*('Info (Payload Bay)'!$I$2*'Aero. Chract. (Payload Bay)'!$J23+'Info. (Bar)'!$I$2*'Aero. Chract. (Bar)'!$J23+'Info. (Trap.)'!$I$2*'Aero. Chract. (Trap.)'!$J23)))</f>
        <v>93.817309938968393</v>
      </c>
      <c r="H6" s="17">
        <f>0.5*B4*E2^2*('Info (Payload Bay)'!$I$2*'Aero. Chract. (Payload Bay)'!$J23+'Info. (Bar)'!$I$2*'Aero. Chract. (Bar)'!$J23+'Info. (Trap.)'!$I$2*'Aero. Chract. (Trap.)'!$J23)</f>
        <v>7.998753380724331</v>
      </c>
      <c r="J6" s="16"/>
    </row>
    <row r="7" spans="1:13">
      <c r="A7" s="17" t="s">
        <v>50</v>
      </c>
      <c r="B7" s="17">
        <v>669.6</v>
      </c>
      <c r="C7" s="17">
        <f>B7/144</f>
        <v>4.6500000000000004</v>
      </c>
      <c r="D7" s="16"/>
      <c r="M7" s="16"/>
    </row>
    <row r="8" spans="1:13">
      <c r="A8" s="16"/>
      <c r="B8" s="16"/>
      <c r="C8" s="16"/>
      <c r="D8" s="16"/>
      <c r="G8" s="24">
        <f>G6*0.68181818182</f>
        <v>63.96634768583084</v>
      </c>
      <c r="H8" s="24" t="s">
        <v>82</v>
      </c>
      <c r="M8" s="16"/>
    </row>
    <row r="9" spans="1:13">
      <c r="A9" s="16"/>
      <c r="B9" s="16"/>
      <c r="C9" s="16"/>
      <c r="D9" s="16"/>
      <c r="M9" s="16"/>
    </row>
    <row r="10" spans="1:13">
      <c r="A10" s="16"/>
      <c r="B10" s="16"/>
      <c r="C10" s="16"/>
      <c r="D10" s="16"/>
      <c r="M10" s="16"/>
    </row>
  </sheetData>
  <mergeCells count="2">
    <mergeCell ref="H1:I1"/>
    <mergeCell ref="J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G14" sqref="G14"/>
    </sheetView>
  </sheetViews>
  <sheetFormatPr defaultRowHeight="15"/>
  <cols>
    <col min="1" max="1" width="16.85546875" style="8" bestFit="1" customWidth="1"/>
    <col min="2" max="2" width="11" style="8" bestFit="1" customWidth="1"/>
    <col min="3" max="3" width="11" style="8" customWidth="1"/>
    <col min="4" max="4" width="21.85546875" style="8" bestFit="1" customWidth="1"/>
    <col min="5" max="5" width="10" style="8" customWidth="1"/>
    <col min="6" max="6" width="12" style="8" bestFit="1" customWidth="1"/>
    <col min="7" max="7" width="12.140625" style="8" bestFit="1" customWidth="1"/>
    <col min="8" max="9" width="11.42578125" style="8" customWidth="1"/>
    <col min="10" max="10" width="11.85546875" style="8" bestFit="1" customWidth="1"/>
    <col min="11" max="11" width="11.140625" style="8" bestFit="1" customWidth="1"/>
    <col min="12" max="12" width="24.28515625" style="8" bestFit="1" customWidth="1"/>
    <col min="13" max="13" width="11.85546875" style="8" bestFit="1" customWidth="1"/>
    <col min="14" max="14" width="11.140625" style="8" bestFit="1" customWidth="1"/>
    <col min="15" max="16" width="17.42578125" style="8" bestFit="1" customWidth="1"/>
    <col min="17" max="16384" width="9.140625" style="8"/>
  </cols>
  <sheetData>
    <row r="1" spans="1:20" ht="17.25">
      <c r="A1" s="7" t="s">
        <v>44</v>
      </c>
      <c r="B1" s="17" t="s">
        <v>78</v>
      </c>
      <c r="C1" s="5"/>
      <c r="D1" s="7" t="s">
        <v>49</v>
      </c>
      <c r="E1" s="7">
        <v>8</v>
      </c>
      <c r="F1" s="5"/>
      <c r="G1" s="7"/>
      <c r="H1" s="7" t="s">
        <v>53</v>
      </c>
      <c r="I1" s="7" t="s">
        <v>54</v>
      </c>
      <c r="K1" s="6" t="s">
        <v>36</v>
      </c>
      <c r="L1" s="6" t="s">
        <v>69</v>
      </c>
      <c r="M1" s="6" t="s">
        <v>70</v>
      </c>
    </row>
    <row r="2" spans="1:20" ht="18">
      <c r="A2" s="7" t="s">
        <v>37</v>
      </c>
      <c r="B2" s="7">
        <v>250000</v>
      </c>
      <c r="C2" s="5"/>
      <c r="D2" s="14" t="s">
        <v>74</v>
      </c>
      <c r="E2" s="7">
        <v>80</v>
      </c>
      <c r="F2" s="5"/>
      <c r="G2" s="7" t="s">
        <v>50</v>
      </c>
      <c r="H2" s="7">
        <v>360</v>
      </c>
      <c r="I2" s="7">
        <f>H2/144</f>
        <v>2.5</v>
      </c>
      <c r="J2" s="5"/>
      <c r="K2" s="7">
        <f>C7/B7</f>
        <v>1</v>
      </c>
      <c r="L2" s="7">
        <f>(2/3)*B7*(1+K2+K2^2)/(1+K2)</f>
        <v>24</v>
      </c>
      <c r="M2" s="7">
        <f>(12*E3/6)*((1+2*K2)/(1+K2))</f>
        <v>3.75</v>
      </c>
      <c r="N2" s="5"/>
      <c r="O2" s="5"/>
    </row>
    <row r="3" spans="1:20">
      <c r="A3" s="7" t="s">
        <v>33</v>
      </c>
      <c r="B3" s="7">
        <v>0.18</v>
      </c>
      <c r="C3" s="5"/>
      <c r="D3" s="7" t="s">
        <v>51</v>
      </c>
      <c r="E3" s="7">
        <v>1.25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 spans="1:20" ht="18.75">
      <c r="A4" s="11" t="s">
        <v>52</v>
      </c>
      <c r="B4" s="7">
        <f>'Standard Atm.'!A8</f>
        <v>2.2878199999999999E-3</v>
      </c>
      <c r="C4" s="5"/>
      <c r="D4" s="5"/>
      <c r="E4" s="5"/>
      <c r="F4" s="5"/>
      <c r="G4" s="15" t="s">
        <v>79</v>
      </c>
      <c r="H4" s="19" t="s">
        <v>39</v>
      </c>
      <c r="I4" s="19"/>
      <c r="J4" s="19" t="s">
        <v>38</v>
      </c>
      <c r="K4" s="19"/>
      <c r="M4" s="5"/>
      <c r="N4" s="5"/>
      <c r="O4" s="5"/>
    </row>
    <row r="5" spans="1:20">
      <c r="A5" s="5"/>
      <c r="B5" s="5"/>
      <c r="C5" s="5"/>
      <c r="D5" s="5"/>
      <c r="E5" s="5"/>
      <c r="F5" s="5"/>
      <c r="G5" s="6" t="s">
        <v>71</v>
      </c>
      <c r="H5" s="6" t="s">
        <v>72</v>
      </c>
      <c r="I5" s="6" t="s">
        <v>73</v>
      </c>
      <c r="J5" s="6" t="s">
        <v>72</v>
      </c>
      <c r="K5" s="6" t="s">
        <v>73</v>
      </c>
      <c r="M5" s="5"/>
      <c r="N5" s="5"/>
      <c r="O5" s="5"/>
    </row>
    <row r="6" spans="1:20">
      <c r="A6" s="7"/>
      <c r="B6" s="7" t="s">
        <v>45</v>
      </c>
      <c r="C6" s="7" t="s">
        <v>46</v>
      </c>
      <c r="D6" s="5"/>
      <c r="E6" s="5"/>
      <c r="F6" s="5"/>
      <c r="G6" s="6">
        <f>('Aero. Chract. (Payload Bay)'!A25)-(('Aero. Chract. (Payload Bay)'!B25)/(('Aero. Chract. (Payload Bay)'!B25-'Aero. Chract. (Payload Bay)'!B26)/('Aero. Chract. (Payload Bay)'!A25-'Aero. Chract. (Payload Bay)'!A26)))</f>
        <v>-4.3133553563001419</v>
      </c>
      <c r="H6" s="6">
        <f>('Aero. Chract. (Payload Bay)'!B23-0)/(0-'Info (Payload Bay)'!G6)</f>
        <v>0.10351570021881837</v>
      </c>
      <c r="I6" s="15">
        <f>H6*180/PI()</f>
        <v>5.9310127358797455</v>
      </c>
      <c r="J6" s="6">
        <f>K6*PI()/180</f>
        <v>4.7485627706243455E-2</v>
      </c>
      <c r="K6" s="6">
        <f>I6/(1+(I6/PI()*F9))</f>
        <v>2.7207260550972383</v>
      </c>
      <c r="Q6" s="5"/>
      <c r="R6" s="5"/>
      <c r="S6" s="5"/>
      <c r="T6" s="5"/>
    </row>
    <row r="7" spans="1:20">
      <c r="A7" s="7" t="s">
        <v>47</v>
      </c>
      <c r="B7" s="7">
        <v>24</v>
      </c>
      <c r="C7" s="7">
        <v>24</v>
      </c>
      <c r="D7" s="5"/>
      <c r="L7" s="5"/>
      <c r="M7" s="5"/>
      <c r="N7" s="5"/>
      <c r="O7" s="5"/>
      <c r="P7" s="5"/>
    </row>
    <row r="8" spans="1:20" ht="18">
      <c r="A8" s="7" t="s">
        <v>48</v>
      </c>
      <c r="B8" s="7">
        <f>B7*B3</f>
        <v>4.32</v>
      </c>
      <c r="C8" s="7">
        <f>C7*B3</f>
        <v>4.32</v>
      </c>
      <c r="D8" s="5"/>
      <c r="E8" s="7"/>
      <c r="F8" s="7" t="s">
        <v>35</v>
      </c>
      <c r="G8" s="7" t="s">
        <v>34</v>
      </c>
      <c r="H8" s="7" t="s">
        <v>65</v>
      </c>
      <c r="I8" s="7" t="s">
        <v>66</v>
      </c>
      <c r="J8" s="7" t="s">
        <v>67</v>
      </c>
      <c r="K8" s="7" t="s">
        <v>68</v>
      </c>
      <c r="L8" s="14" t="s">
        <v>75</v>
      </c>
      <c r="M8" s="5"/>
      <c r="N8" s="5"/>
      <c r="O8" s="5"/>
    </row>
    <row r="9" spans="1:20">
      <c r="A9" s="5"/>
      <c r="B9" s="5"/>
      <c r="C9" s="5"/>
      <c r="D9" s="5"/>
      <c r="E9" s="7" t="s">
        <v>63</v>
      </c>
      <c r="F9" s="20">
        <f>E3^2/I2</f>
        <v>0.625</v>
      </c>
      <c r="G9" s="7">
        <f>(-((('Aero. Chract. (Payload Bay)'!$E$15-'Aero. Chract. (Payload Bay)'!$E$23)/(16-0))/((MAX('Aero. Chract. (Payload Bay)'!B13:B32)-'Aero. Chract. (Payload Bay)'!$B$23)/(16-0)))+0.25)*100</f>
        <v>18.9450050921211</v>
      </c>
      <c r="H9" s="7">
        <f>SQRT((2*$E$1)/($B$4*$I$2*MAX('Aero. Chract. (Payload Bay)'!B13:B32)))</f>
        <v>42.807161567584885</v>
      </c>
      <c r="I9" s="14">
        <f>SQRT((2*$E$1)/($B$4*$I$2*'Aero. Chract. (Payload Bay)'!$B$23))</f>
        <v>79.153173039294501</v>
      </c>
      <c r="J9" s="7">
        <f>0.5*MAX('Aero. Chract. (Payload Bay)'!B13:B32)*$I$2*$B$4*$H$9^2</f>
        <v>8.0000000000000018</v>
      </c>
      <c r="K9" s="14">
        <f>0.5*'Aero. Chract. (Payload Bay)'!$B$23*$I$2*$B$4*$I$9^2</f>
        <v>7.9999999999999991</v>
      </c>
      <c r="L9" s="14">
        <f>0.5*'Aero. Chract. (Payload Bay)'!$B$23*$I$2*$B$4*$E$2^2</f>
        <v>8.1720930399999983</v>
      </c>
      <c r="N9" s="10"/>
      <c r="O9" s="10"/>
    </row>
    <row r="10" spans="1:20">
      <c r="A10" s="5"/>
      <c r="B10" s="5"/>
      <c r="C10" s="5"/>
      <c r="D10" s="5"/>
      <c r="E10" s="7" t="s">
        <v>64</v>
      </c>
      <c r="F10" s="21"/>
      <c r="G10" s="14"/>
      <c r="H10" s="14">
        <f>SQRT((2*$E$1)/($B$4*$I$2*MAX('Aero. Chract. (Payload Bay)'!J14:J33)))</f>
        <v>53.852657087252396</v>
      </c>
      <c r="I10" s="14">
        <f>SQRT((2*$E$1)/($B$4*$I$2*'Aero. Chract. (Payload Bay)'!$J$23))</f>
        <v>116.8665839699472</v>
      </c>
      <c r="J10" s="14">
        <f>0.5*MAX('Aero. Chract. (Payload Bay)'!J15:J29)*$I$2*$B$4*$H$10^2</f>
        <v>8</v>
      </c>
      <c r="K10" s="14">
        <f>0.5*'Aero. Chract. (Payload Bay)'!$J$23*$I$2*$B$4*$I$10^2</f>
        <v>8.0000000000000018</v>
      </c>
      <c r="L10" s="14">
        <f>0.5*'Aero. Chract. (Payload Bay)'!$J$23*$I$2*$B$4*$E$2^2</f>
        <v>3.748774020345925</v>
      </c>
      <c r="O10" s="5"/>
    </row>
    <row r="11" spans="1:20">
      <c r="A11" s="5"/>
      <c r="B11" s="5"/>
      <c r="C11" s="5"/>
      <c r="D11" s="5"/>
      <c r="F11" s="5"/>
      <c r="G11" s="5"/>
      <c r="H11" s="9"/>
      <c r="I11" s="9"/>
      <c r="J11" s="5"/>
      <c r="K11" s="9"/>
      <c r="L11" s="5"/>
      <c r="M11" s="5"/>
      <c r="N11" s="5"/>
      <c r="O11" s="5"/>
    </row>
    <row r="12" spans="1:20">
      <c r="A12" s="5"/>
      <c r="B12" s="5"/>
      <c r="C12" s="5"/>
      <c r="D12" s="5"/>
      <c r="E12" s="5"/>
      <c r="F12" s="5"/>
      <c r="G12" s="5"/>
      <c r="I12" s="5"/>
      <c r="J12" s="5"/>
      <c r="L12" s="5"/>
      <c r="M12" s="5"/>
      <c r="N12" s="5"/>
      <c r="O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20" ht="15" customHeight="1">
      <c r="A14" s="5"/>
      <c r="B14" s="5"/>
      <c r="C14" s="5"/>
      <c r="E14" s="9"/>
      <c r="F14" s="9"/>
      <c r="G14" s="5"/>
      <c r="H14" s="5"/>
      <c r="I14" s="5"/>
      <c r="J14" s="5"/>
      <c r="K14" s="5"/>
    </row>
    <row r="15" spans="1:20" ht="15" customHeight="1">
      <c r="A15" s="5"/>
      <c r="B15" s="5"/>
      <c r="C15" s="5"/>
    </row>
    <row r="16" spans="1:20" ht="15" customHeight="1"/>
    <row r="17" spans="2:2" ht="15" customHeight="1"/>
    <row r="18" spans="2:2">
      <c r="B18" s="5"/>
    </row>
    <row r="19" spans="2:2">
      <c r="B19" s="5"/>
    </row>
    <row r="20" spans="2:2" ht="15" customHeight="1"/>
  </sheetData>
  <mergeCells count="3">
    <mergeCell ref="H4:I4"/>
    <mergeCell ref="J4:K4"/>
    <mergeCell ref="F9:F10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3"/>
  <sheetViews>
    <sheetView topLeftCell="A4" workbookViewId="0">
      <selection activeCell="A18" sqref="A18:XFD18"/>
    </sheetView>
  </sheetViews>
  <sheetFormatPr defaultRowHeight="15"/>
  <cols>
    <col min="1" max="1" width="10.28515625" style="5" bestFit="1" customWidth="1"/>
    <col min="2" max="2" width="7.85546875" style="5" bestFit="1" customWidth="1"/>
    <col min="3" max="3" width="9.140625" style="5" bestFit="1" customWidth="1"/>
    <col min="4" max="4" width="8" style="5" bestFit="1" customWidth="1"/>
    <col min="5" max="5" width="9.140625" style="5"/>
    <col min="6" max="6" width="9" style="5" bestFit="1" customWidth="1"/>
    <col min="7" max="7" width="8" style="5" bestFit="1" customWidth="1"/>
    <col min="8" max="8" width="5.5703125" style="5" bestFit="1" customWidth="1"/>
    <col min="9" max="9" width="13.7109375" style="5" customWidth="1"/>
    <col min="10" max="16384" width="9.140625" style="5"/>
  </cols>
  <sheetData>
    <row r="1" spans="1:16">
      <c r="A1"/>
      <c r="B1"/>
      <c r="C1"/>
      <c r="D1"/>
      <c r="E1"/>
      <c r="F1"/>
      <c r="G1"/>
      <c r="H1"/>
    </row>
    <row r="2" spans="1:16">
      <c r="A2" t="s">
        <v>10</v>
      </c>
      <c r="B2" t="s">
        <v>11</v>
      </c>
      <c r="C2">
        <v>6.96</v>
      </c>
      <c r="D2"/>
      <c r="E2"/>
      <c r="F2"/>
      <c r="G2"/>
      <c r="H2"/>
    </row>
    <row r="3" spans="1:16">
      <c r="A3"/>
      <c r="B3"/>
      <c r="C3"/>
      <c r="D3"/>
      <c r="E3"/>
      <c r="F3"/>
      <c r="G3"/>
      <c r="H3"/>
    </row>
    <row r="4" spans="1:16">
      <c r="A4" t="s">
        <v>12</v>
      </c>
      <c r="B4" t="s">
        <v>13</v>
      </c>
      <c r="C4" t="s">
        <v>14</v>
      </c>
      <c r="D4" t="s">
        <v>55</v>
      </c>
      <c r="E4">
        <v>382</v>
      </c>
      <c r="F4"/>
      <c r="G4"/>
      <c r="H4"/>
    </row>
    <row r="5" spans="1:16">
      <c r="A5"/>
      <c r="B5"/>
      <c r="C5"/>
      <c r="D5"/>
      <c r="E5"/>
      <c r="F5"/>
      <c r="G5"/>
      <c r="H5"/>
    </row>
    <row r="6" spans="1:16">
      <c r="A6">
        <v>1</v>
      </c>
      <c r="B6">
        <v>1</v>
      </c>
      <c r="C6" t="s">
        <v>15</v>
      </c>
      <c r="D6" t="s">
        <v>16</v>
      </c>
      <c r="E6" t="s">
        <v>17</v>
      </c>
      <c r="F6" t="s">
        <v>18</v>
      </c>
      <c r="G6" t="s">
        <v>16</v>
      </c>
      <c r="H6" t="s">
        <v>17</v>
      </c>
    </row>
    <row r="7" spans="1:16">
      <c r="A7"/>
      <c r="B7"/>
      <c r="C7"/>
      <c r="D7"/>
      <c r="E7"/>
      <c r="F7"/>
      <c r="G7"/>
      <c r="H7"/>
    </row>
    <row r="8" spans="1:16">
      <c r="A8" t="s">
        <v>19</v>
      </c>
      <c r="B8" t="s">
        <v>20</v>
      </c>
      <c r="C8">
        <v>1</v>
      </c>
      <c r="D8" t="s">
        <v>21</v>
      </c>
      <c r="E8">
        <v>1</v>
      </c>
      <c r="F8" t="s">
        <v>22</v>
      </c>
      <c r="G8"/>
      <c r="H8"/>
    </row>
    <row r="9" spans="1:16">
      <c r="A9" t="s">
        <v>18</v>
      </c>
      <c r="B9" t="s">
        <v>20</v>
      </c>
      <c r="C9">
        <v>0.05</v>
      </c>
      <c r="D9" t="s">
        <v>1</v>
      </c>
      <c r="E9" t="s">
        <v>20</v>
      </c>
      <c r="F9">
        <v>0.3</v>
      </c>
      <c r="G9" t="s">
        <v>23</v>
      </c>
      <c r="H9">
        <v>6</v>
      </c>
    </row>
    <row r="10" spans="1:16">
      <c r="A10"/>
      <c r="B10"/>
      <c r="C10"/>
      <c r="D10"/>
      <c r="E10"/>
      <c r="F10"/>
      <c r="G10"/>
      <c r="H10"/>
      <c r="O10" s="5" t="s">
        <v>62</v>
      </c>
      <c r="P10" s="5" t="s">
        <v>61</v>
      </c>
    </row>
    <row r="11" spans="1:16">
      <c r="A11" t="s">
        <v>24</v>
      </c>
      <c r="B11" t="s">
        <v>40</v>
      </c>
      <c r="C11" t="s">
        <v>41</v>
      </c>
      <c r="D11" t="s">
        <v>42</v>
      </c>
      <c r="E11" t="s">
        <v>43</v>
      </c>
      <c r="F11" t="s">
        <v>26</v>
      </c>
      <c r="G11" t="s">
        <v>27</v>
      </c>
      <c r="H11"/>
      <c r="I11" s="5" t="s">
        <v>56</v>
      </c>
      <c r="J11" t="s">
        <v>25</v>
      </c>
      <c r="K11" t="s">
        <v>57</v>
      </c>
      <c r="L11" t="s">
        <v>58</v>
      </c>
      <c r="M11" t="s">
        <v>59</v>
      </c>
      <c r="N11" t="s">
        <v>28</v>
      </c>
      <c r="O11" t="s">
        <v>60</v>
      </c>
      <c r="P11" t="s">
        <v>29</v>
      </c>
    </row>
    <row r="12" spans="1:16">
      <c r="A12" t="s">
        <v>30</v>
      </c>
      <c r="B12" t="s">
        <v>31</v>
      </c>
      <c r="C12" t="s">
        <v>32</v>
      </c>
      <c r="D12" t="s">
        <v>32</v>
      </c>
      <c r="E12" t="s">
        <v>31</v>
      </c>
      <c r="F12" t="s">
        <v>31</v>
      </c>
      <c r="G12" t="s">
        <v>31</v>
      </c>
      <c r="H12"/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</row>
    <row r="13" spans="1:16">
      <c r="A13" s="12">
        <v>20</v>
      </c>
      <c r="B13" s="12">
        <v>1.4504999999999999</v>
      </c>
      <c r="C13" s="12">
        <v>0.11448999999999999</v>
      </c>
      <c r="D13" s="12">
        <v>0.10857</v>
      </c>
      <c r="E13" s="12">
        <v>-3.5799999999999998E-2</v>
      </c>
      <c r="F13" s="12">
        <v>9.2100000000000001E-2</v>
      </c>
      <c r="G13" s="12">
        <v>1</v>
      </c>
      <c r="H13"/>
      <c r="M13" s="5">
        <f>B13/C13</f>
        <v>12.669228753602935</v>
      </c>
      <c r="O13" s="5">
        <f>1/M13</f>
        <v>7.8931402964494995E-2</v>
      </c>
    </row>
    <row r="14" spans="1:16">
      <c r="A14" s="12">
        <v>18</v>
      </c>
      <c r="B14" s="12">
        <v>1.4718</v>
      </c>
      <c r="C14" s="12">
        <v>8.7069999999999995E-2</v>
      </c>
      <c r="D14" s="12">
        <v>8.0890000000000004E-2</v>
      </c>
      <c r="E14" s="12">
        <v>-3.09E-2</v>
      </c>
      <c r="F14" s="12">
        <v>0.12280000000000001</v>
      </c>
      <c r="G14" s="12">
        <v>1</v>
      </c>
      <c r="H14"/>
      <c r="M14" s="13">
        <f t="shared" ref="M14:M32" si="0">B14/C14</f>
        <v>16.903640748822788</v>
      </c>
      <c r="O14" s="13">
        <f t="shared" ref="O14:O32" si="1">1/M14</f>
        <v>5.9158853105041438E-2</v>
      </c>
    </row>
    <row r="15" spans="1:16">
      <c r="A15" s="12">
        <v>16</v>
      </c>
      <c r="B15" s="12">
        <v>1.5117</v>
      </c>
      <c r="C15" s="12">
        <v>5.91E-2</v>
      </c>
      <c r="D15" s="12">
        <v>5.2720000000000003E-2</v>
      </c>
      <c r="E15" s="12">
        <v>-3.0800000000000001E-2</v>
      </c>
      <c r="F15" s="12">
        <v>0.17</v>
      </c>
      <c r="G15" s="12">
        <v>1</v>
      </c>
      <c r="H15"/>
      <c r="I15" s="5">
        <f>'Info (Payload Bay)'!$H$6*('Aero. Chract. (Payload Bay)'!A15-'Info (Payload Bay)'!$G$6)</f>
        <v>2.1027512035010938</v>
      </c>
      <c r="J15" s="5">
        <f>'Info (Payload Bay)'!$J$6*('Aero. Chract. (Payload Bay)'!A15-'Info (Payload Bay)'!$G$6)</f>
        <v>0.96459242991389493</v>
      </c>
      <c r="K15" s="12"/>
      <c r="M15" s="13">
        <f t="shared" si="0"/>
        <v>25.578680203045685</v>
      </c>
      <c r="N15" s="5" t="e">
        <f>J15/K15</f>
        <v>#DIV/0!</v>
      </c>
      <c r="O15" s="13">
        <f t="shared" si="1"/>
        <v>3.9095058543361781E-2</v>
      </c>
      <c r="P15" s="5" t="e">
        <f>1/N15</f>
        <v>#DIV/0!</v>
      </c>
    </row>
    <row r="16" spans="1:16">
      <c r="A16" s="12">
        <v>14</v>
      </c>
      <c r="B16" s="12">
        <v>1.5266</v>
      </c>
      <c r="C16" s="12">
        <v>3.7740000000000003E-2</v>
      </c>
      <c r="D16" s="12">
        <v>3.1140000000000001E-2</v>
      </c>
      <c r="E16" s="12">
        <v>-3.7900000000000003E-2</v>
      </c>
      <c r="F16" s="12">
        <v>0.23499999999999999</v>
      </c>
      <c r="G16" s="12">
        <v>1</v>
      </c>
      <c r="H16"/>
      <c r="I16" s="13">
        <f>'Info (Payload Bay)'!$H$6*('Aero. Chract. (Payload Bay)'!A16-'Info (Payload Bay)'!$G$6)</f>
        <v>1.8957198030634572</v>
      </c>
      <c r="J16" s="13">
        <f>'Info (Payload Bay)'!$J$6*('Aero. Chract. (Payload Bay)'!A16-'Info (Payload Bay)'!$G$6)</f>
        <v>0.86962117450140808</v>
      </c>
      <c r="K16" s="12"/>
      <c r="M16" s="13">
        <f t="shared" si="0"/>
        <v>40.450450450450447</v>
      </c>
      <c r="N16" s="13" t="e">
        <f t="shared" ref="N16:N29" si="2">J16/K16</f>
        <v>#DIV/0!</v>
      </c>
      <c r="O16" s="13">
        <f t="shared" si="1"/>
        <v>2.472160356347439E-2</v>
      </c>
      <c r="P16" s="13" t="e">
        <f t="shared" ref="P16:P29" si="3">1/N16</f>
        <v>#DIV/0!</v>
      </c>
    </row>
    <row r="17" spans="1:16">
      <c r="A17" s="12">
        <v>12</v>
      </c>
      <c r="B17" s="12">
        <v>1.49</v>
      </c>
      <c r="C17" s="12">
        <v>2.5770000000000001E-2</v>
      </c>
      <c r="D17" s="12">
        <v>1.9060000000000001E-2</v>
      </c>
      <c r="E17" s="12">
        <v>-5.1999999999999998E-2</v>
      </c>
      <c r="F17" s="12">
        <v>0.30509999999999998</v>
      </c>
      <c r="G17" s="12">
        <v>1</v>
      </c>
      <c r="H17"/>
      <c r="I17" s="13">
        <f>'Info (Payload Bay)'!$H$6*('Aero. Chract. (Payload Bay)'!A17-'Info (Payload Bay)'!$G$6)</f>
        <v>1.6886884026258204</v>
      </c>
      <c r="J17" s="13">
        <f>'Info (Payload Bay)'!$J$6*('Aero. Chract. (Payload Bay)'!A17-'Info (Payload Bay)'!$G$6)</f>
        <v>0.77464991908892111</v>
      </c>
      <c r="K17" s="12"/>
      <c r="M17" s="13">
        <f t="shared" si="0"/>
        <v>57.819169577027552</v>
      </c>
      <c r="N17" s="13" t="e">
        <f t="shared" si="2"/>
        <v>#DIV/0!</v>
      </c>
      <c r="O17" s="13">
        <f t="shared" si="1"/>
        <v>1.729530201342282E-2</v>
      </c>
      <c r="P17" s="13" t="e">
        <f t="shared" si="3"/>
        <v>#DIV/0!</v>
      </c>
    </row>
    <row r="18" spans="1:16">
      <c r="A18" s="12">
        <v>10</v>
      </c>
      <c r="B18" s="12">
        <v>1.4023000000000001</v>
      </c>
      <c r="C18" s="12">
        <v>2.0129999999999999E-2</v>
      </c>
      <c r="D18" s="12">
        <v>1.323E-2</v>
      </c>
      <c r="E18" s="12">
        <v>-6.8599999999999994E-2</v>
      </c>
      <c r="F18" s="12">
        <v>0.36990000000000001</v>
      </c>
      <c r="G18" s="12">
        <v>1</v>
      </c>
      <c r="H18"/>
      <c r="I18" s="13">
        <f>'Info (Payload Bay)'!$H$6*('Aero. Chract. (Payload Bay)'!A18-'Info (Payload Bay)'!$G$6)</f>
        <v>1.4816570021881839</v>
      </c>
      <c r="J18" s="13">
        <f>'Info (Payload Bay)'!$J$6*('Aero. Chract. (Payload Bay)'!A18-'Info (Payload Bay)'!$G$6)</f>
        <v>0.67967866367643426</v>
      </c>
      <c r="K18" s="12"/>
      <c r="M18" s="13">
        <f t="shared" si="0"/>
        <v>69.662195727769515</v>
      </c>
      <c r="N18" s="13" t="e">
        <f t="shared" si="2"/>
        <v>#DIV/0!</v>
      </c>
      <c r="O18" s="13">
        <f t="shared" si="1"/>
        <v>1.4354988233616198E-2</v>
      </c>
      <c r="P18" s="13" t="e">
        <f t="shared" si="3"/>
        <v>#DIV/0!</v>
      </c>
    </row>
    <row r="19" spans="1:16">
      <c r="A19" s="12">
        <v>8</v>
      </c>
      <c r="B19" s="12">
        <v>1.2779</v>
      </c>
      <c r="C19" s="12">
        <v>1.7479999999999999E-2</v>
      </c>
      <c r="D19" s="12">
        <v>1.0460000000000001E-2</v>
      </c>
      <c r="E19" s="12">
        <v>-8.4699999999999998E-2</v>
      </c>
      <c r="F19" s="12">
        <v>0.42509999999999998</v>
      </c>
      <c r="G19" s="12">
        <v>1</v>
      </c>
      <c r="H19"/>
      <c r="I19" s="13">
        <f>'Info (Payload Bay)'!$H$6*('Aero. Chract. (Payload Bay)'!A19-'Info (Payload Bay)'!$G$6)</f>
        <v>1.2746256017505471</v>
      </c>
      <c r="J19" s="13">
        <f>'Info (Payload Bay)'!$J$6*('Aero. Chract. (Payload Bay)'!A19-'Info (Payload Bay)'!$G$6)</f>
        <v>0.58470740826394729</v>
      </c>
      <c r="K19" s="12"/>
      <c r="M19" s="13">
        <f t="shared" si="0"/>
        <v>73.106407322654462</v>
      </c>
      <c r="N19" s="13" t="e">
        <f t="shared" si="2"/>
        <v>#DIV/0!</v>
      </c>
      <c r="O19" s="13">
        <f t="shared" si="1"/>
        <v>1.3678691603411848E-2</v>
      </c>
      <c r="P19" s="13" t="e">
        <f t="shared" si="3"/>
        <v>#DIV/0!</v>
      </c>
    </row>
    <row r="20" spans="1:16">
      <c r="A20" s="12">
        <v>6</v>
      </c>
      <c r="B20" s="12">
        <v>1.1107</v>
      </c>
      <c r="C20" s="12">
        <v>1.5559999999999999E-2</v>
      </c>
      <c r="D20" s="12">
        <v>8.4399999999999996E-3</v>
      </c>
      <c r="E20" s="12">
        <v>-9.4600000000000004E-2</v>
      </c>
      <c r="F20" s="12">
        <v>0.47460000000000002</v>
      </c>
      <c r="G20" s="12">
        <v>1</v>
      </c>
      <c r="H20"/>
      <c r="I20" s="13">
        <f>'Info (Payload Bay)'!$H$6*('Aero. Chract. (Payload Bay)'!A20-'Info (Payload Bay)'!$G$6)</f>
        <v>1.0675942013129103</v>
      </c>
      <c r="J20" s="13">
        <f>'Info (Payload Bay)'!$J$6*('Aero. Chract. (Payload Bay)'!A20-'Info (Payload Bay)'!$G$6)</f>
        <v>0.48973615285146038</v>
      </c>
      <c r="K20" s="12"/>
      <c r="M20" s="13">
        <f t="shared" si="0"/>
        <v>71.381748071979445</v>
      </c>
      <c r="N20" s="13" t="e">
        <f t="shared" si="2"/>
        <v>#DIV/0!</v>
      </c>
      <c r="O20" s="13">
        <f t="shared" si="1"/>
        <v>1.4009183397857205E-2</v>
      </c>
      <c r="P20" s="13" t="e">
        <f t="shared" si="3"/>
        <v>#DIV/0!</v>
      </c>
    </row>
    <row r="21" spans="1:16">
      <c r="A21" s="12">
        <v>4</v>
      </c>
      <c r="B21" s="12">
        <v>0.93089999999999995</v>
      </c>
      <c r="C21" s="12">
        <v>1.3809999999999999E-2</v>
      </c>
      <c r="D21" s="12">
        <v>6.9899999999999997E-3</v>
      </c>
      <c r="E21" s="12">
        <v>-0.1026</v>
      </c>
      <c r="F21" s="12">
        <v>0.52049999999999996</v>
      </c>
      <c r="G21" s="12">
        <v>1</v>
      </c>
      <c r="H21"/>
      <c r="I21" s="13">
        <f>'Info (Payload Bay)'!$H$6*('Aero. Chract. (Payload Bay)'!A21-'Info (Payload Bay)'!$G$6)</f>
        <v>0.86056280087527359</v>
      </c>
      <c r="J21" s="13">
        <f>'Info (Payload Bay)'!$J$6*('Aero. Chract. (Payload Bay)'!A21-'Info (Payload Bay)'!$G$6)</f>
        <v>0.39476489743897347</v>
      </c>
      <c r="K21" s="12"/>
      <c r="M21" s="13">
        <f t="shared" si="0"/>
        <v>67.407675597393194</v>
      </c>
      <c r="N21" s="13" t="e">
        <f t="shared" si="2"/>
        <v>#DIV/0!</v>
      </c>
      <c r="O21" s="13">
        <f t="shared" si="1"/>
        <v>1.4835105811580191E-2</v>
      </c>
      <c r="P21" s="13" t="e">
        <f t="shared" si="3"/>
        <v>#DIV/0!</v>
      </c>
    </row>
    <row r="22" spans="1:16">
      <c r="A22" s="12">
        <v>2</v>
      </c>
      <c r="B22" s="12">
        <v>0.70569999999999999</v>
      </c>
      <c r="C22" s="12">
        <v>1.2579999999999999E-2</v>
      </c>
      <c r="D22" s="12">
        <v>6.1399999999999996E-3</v>
      </c>
      <c r="E22" s="12">
        <v>-0.10050000000000001</v>
      </c>
      <c r="F22" s="12">
        <v>0.57210000000000005</v>
      </c>
      <c r="G22" s="12">
        <v>0.9798</v>
      </c>
      <c r="H22"/>
      <c r="I22" s="13">
        <f>'Info (Payload Bay)'!$H$6*('Aero. Chract. (Payload Bay)'!A22-'Info (Payload Bay)'!$G$6)</f>
        <v>0.65353140043763669</v>
      </c>
      <c r="J22" s="13">
        <f>'Info (Payload Bay)'!$J$6*('Aero. Chract. (Payload Bay)'!A22-'Info (Payload Bay)'!$G$6)</f>
        <v>0.29979364202648656</v>
      </c>
      <c r="K22" s="12"/>
      <c r="M22" s="13">
        <f t="shared" si="0"/>
        <v>56.096979332273456</v>
      </c>
      <c r="N22" s="13" t="e">
        <f t="shared" si="2"/>
        <v>#DIV/0!</v>
      </c>
      <c r="O22" s="13">
        <f t="shared" si="1"/>
        <v>1.7826271786878276E-2</v>
      </c>
      <c r="P22" s="13" t="e">
        <f t="shared" si="3"/>
        <v>#DIV/0!</v>
      </c>
    </row>
    <row r="23" spans="1:16">
      <c r="A23" s="12">
        <v>0</v>
      </c>
      <c r="B23" s="12">
        <v>0.44650000000000001</v>
      </c>
      <c r="C23" s="12">
        <v>1.159E-2</v>
      </c>
      <c r="D23" s="12">
        <v>5.1200000000000004E-3</v>
      </c>
      <c r="E23" s="12">
        <v>-9.6199999999999994E-2</v>
      </c>
      <c r="F23" s="12">
        <v>0.63539999999999996</v>
      </c>
      <c r="G23" s="12">
        <v>0.6915</v>
      </c>
      <c r="H23"/>
      <c r="I23" s="13">
        <f>'Info (Payload Bay)'!$H$6*('Aero. Chract. (Payload Bay)'!A23-'Info (Payload Bay)'!$G$6)</f>
        <v>0.44649999999999995</v>
      </c>
      <c r="J23" s="13">
        <f>'Info (Payload Bay)'!$J$6*('Aero. Chract. (Payload Bay)'!A23-'Info (Payload Bay)'!$G$6)</f>
        <v>0.20482238661399962</v>
      </c>
      <c r="K23" s="12"/>
      <c r="M23" s="13">
        <f t="shared" si="0"/>
        <v>38.524590163934427</v>
      </c>
      <c r="N23" s="13" t="e">
        <f t="shared" si="2"/>
        <v>#DIV/0!</v>
      </c>
      <c r="O23" s="13">
        <f t="shared" si="1"/>
        <v>2.5957446808510639E-2</v>
      </c>
      <c r="P23" s="13" t="e">
        <f t="shared" si="3"/>
        <v>#DIV/0!</v>
      </c>
    </row>
    <row r="24" spans="1:16">
      <c r="A24" s="12">
        <v>-2</v>
      </c>
      <c r="B24" s="12">
        <v>0.2472</v>
      </c>
      <c r="C24" s="12">
        <v>1.278E-2</v>
      </c>
      <c r="D24" s="12">
        <v>5.2599999999999999E-3</v>
      </c>
      <c r="E24" s="12">
        <v>-0.1019</v>
      </c>
      <c r="F24" s="12">
        <v>0.71419999999999995</v>
      </c>
      <c r="G24" s="12">
        <v>0.3175</v>
      </c>
      <c r="H24"/>
      <c r="I24" s="13">
        <f>'Info (Payload Bay)'!$H$6*('Aero. Chract. (Payload Bay)'!A24-'Info (Payload Bay)'!$G$6)</f>
        <v>0.23946859956236324</v>
      </c>
      <c r="J24" s="13">
        <f>'Info (Payload Bay)'!$J$6*('Aero. Chract. (Payload Bay)'!A24-'Info (Payload Bay)'!$G$6)</f>
        <v>0.10985113120151271</v>
      </c>
      <c r="K24" s="12"/>
      <c r="M24" s="13">
        <f t="shared" si="0"/>
        <v>19.342723004694836</v>
      </c>
      <c r="N24" s="13" t="e">
        <f t="shared" si="2"/>
        <v>#DIV/0!</v>
      </c>
      <c r="O24" s="13">
        <f t="shared" si="1"/>
        <v>5.1699029126213589E-2</v>
      </c>
      <c r="P24" s="13" t="e">
        <f t="shared" si="3"/>
        <v>#DIV/0!</v>
      </c>
    </row>
    <row r="25" spans="1:16">
      <c r="A25" s="12">
        <v>-4</v>
      </c>
      <c r="B25" s="12">
        <v>3.32E-2</v>
      </c>
      <c r="C25" s="12">
        <v>1.417E-2</v>
      </c>
      <c r="D25" s="12">
        <v>6.6499999999999997E-3</v>
      </c>
      <c r="E25" s="12">
        <v>-0.10489999999999999</v>
      </c>
      <c r="F25" s="12">
        <v>0.79579999999999995</v>
      </c>
      <c r="G25" s="12">
        <v>0.1956</v>
      </c>
      <c r="H25"/>
      <c r="I25" s="13">
        <f>'Info (Payload Bay)'!$H$6*('Aero. Chract. (Payload Bay)'!A25-'Info (Payload Bay)'!$G$6)</f>
        <v>3.2437199124726507E-2</v>
      </c>
      <c r="J25" s="13">
        <f>'Info (Payload Bay)'!$J$6*('Aero. Chract. (Payload Bay)'!A25-'Info (Payload Bay)'!$G$6)</f>
        <v>1.4879875789025807E-2</v>
      </c>
      <c r="K25" s="12"/>
      <c r="M25" s="13">
        <f t="shared" si="0"/>
        <v>2.3429781227946367</v>
      </c>
      <c r="N25" s="13" t="e">
        <f t="shared" si="2"/>
        <v>#DIV/0!</v>
      </c>
      <c r="O25" s="13">
        <f t="shared" si="1"/>
        <v>0.42680722891566264</v>
      </c>
      <c r="P25" s="13" t="e">
        <f t="shared" si="3"/>
        <v>#DIV/0!</v>
      </c>
    </row>
    <row r="26" spans="1:16">
      <c r="A26" s="12">
        <v>-6</v>
      </c>
      <c r="B26" s="12">
        <v>-0.1787</v>
      </c>
      <c r="C26" s="12">
        <v>1.6750000000000001E-2</v>
      </c>
      <c r="D26" s="12">
        <v>9.1999999999999998E-3</v>
      </c>
      <c r="E26" s="12">
        <v>-0.1081</v>
      </c>
      <c r="F26" s="12">
        <v>0.86550000000000005</v>
      </c>
      <c r="G26" s="12">
        <v>0.1305</v>
      </c>
      <c r="H26"/>
      <c r="I26" s="13">
        <f>'Info (Payload Bay)'!$H$6*('Aero. Chract. (Payload Bay)'!A26-'Info (Payload Bay)'!$G$6)</f>
        <v>-0.17459420131291023</v>
      </c>
      <c r="J26" s="13">
        <f>'Info (Payload Bay)'!$J$6*('Aero. Chract. (Payload Bay)'!A26-'Info (Payload Bay)'!$G$6)</f>
        <v>-8.0091379623461106E-2</v>
      </c>
      <c r="K26" s="12"/>
      <c r="M26" s="13">
        <f t="shared" si="0"/>
        <v>-10.66865671641791</v>
      </c>
      <c r="N26" s="13" t="e">
        <f t="shared" si="2"/>
        <v>#DIV/0!</v>
      </c>
      <c r="O26" s="13">
        <f t="shared" si="1"/>
        <v>-9.3732512590934527E-2</v>
      </c>
      <c r="P26" s="13" t="e">
        <f t="shared" si="3"/>
        <v>#DIV/0!</v>
      </c>
    </row>
    <row r="27" spans="1:16">
      <c r="A27" s="12">
        <v>-8</v>
      </c>
      <c r="B27" s="12">
        <v>-0.40960000000000002</v>
      </c>
      <c r="C27" s="12">
        <v>2.0979999999999999E-2</v>
      </c>
      <c r="D27" s="12">
        <v>1.3679999999999999E-2</v>
      </c>
      <c r="E27" s="12">
        <v>-0.10730000000000001</v>
      </c>
      <c r="F27" s="12">
        <v>0.91269999999999996</v>
      </c>
      <c r="G27" s="12">
        <v>9.4100000000000003E-2</v>
      </c>
      <c r="H27"/>
      <c r="I27" s="13">
        <f>'Info (Payload Bay)'!$H$6*('Aero. Chract. (Payload Bay)'!A27-'Info (Payload Bay)'!$G$6)</f>
        <v>-0.38162560175054699</v>
      </c>
      <c r="J27" s="13">
        <f>'Info (Payload Bay)'!$J$6*('Aero. Chract. (Payload Bay)'!A27-'Info (Payload Bay)'!$G$6)</f>
        <v>-0.17506263503594802</v>
      </c>
      <c r="M27" s="13">
        <f t="shared" si="0"/>
        <v>-19.523355576739753</v>
      </c>
      <c r="N27" s="13" t="e">
        <f t="shared" si="2"/>
        <v>#DIV/0!</v>
      </c>
      <c r="O27" s="13">
        <f t="shared" si="1"/>
        <v>-5.1220703124999996E-2</v>
      </c>
      <c r="P27" s="13" t="e">
        <f t="shared" si="3"/>
        <v>#DIV/0!</v>
      </c>
    </row>
    <row r="28" spans="1:16">
      <c r="A28" s="12">
        <v>-10</v>
      </c>
      <c r="B28" s="12">
        <v>-0.67130000000000001</v>
      </c>
      <c r="C28" s="12">
        <v>2.7470000000000001E-2</v>
      </c>
      <c r="D28" s="12">
        <v>2.0590000000000001E-2</v>
      </c>
      <c r="E28" s="12">
        <v>-9.7299999999999998E-2</v>
      </c>
      <c r="F28" s="12">
        <v>0.94620000000000004</v>
      </c>
      <c r="G28" s="12">
        <v>7.2599999999999998E-2</v>
      </c>
      <c r="H28"/>
      <c r="I28" s="13">
        <f>'Info (Payload Bay)'!$H$6*('Aero. Chract. (Payload Bay)'!A28-'Info (Payload Bay)'!$G$6)</f>
        <v>-0.58865700218818373</v>
      </c>
      <c r="J28" s="13">
        <f>'Info (Payload Bay)'!$J$6*('Aero. Chract. (Payload Bay)'!A28-'Info (Payload Bay)'!$G$6)</f>
        <v>-0.2700338904484349</v>
      </c>
      <c r="M28" s="13">
        <f t="shared" si="0"/>
        <v>-24.437568256279576</v>
      </c>
      <c r="N28" s="13" t="e">
        <f t="shared" si="2"/>
        <v>#DIV/0!</v>
      </c>
      <c r="O28" s="13">
        <f t="shared" si="1"/>
        <v>-4.0920601817369284E-2</v>
      </c>
      <c r="P28" s="13" t="e">
        <f t="shared" si="3"/>
        <v>#DIV/0!</v>
      </c>
    </row>
    <row r="29" spans="1:16">
      <c r="A29" s="12">
        <v>-12</v>
      </c>
      <c r="B29" s="12">
        <v>-0.88470000000000004</v>
      </c>
      <c r="C29" s="12">
        <v>3.7560000000000003E-2</v>
      </c>
      <c r="D29" s="12">
        <v>3.1719999999999998E-2</v>
      </c>
      <c r="E29" s="12">
        <v>-8.8499999999999995E-2</v>
      </c>
      <c r="F29" s="12">
        <v>0.98209999999999997</v>
      </c>
      <c r="G29" s="12">
        <v>6.0100000000000001E-2</v>
      </c>
      <c r="H29"/>
      <c r="I29" s="13">
        <f>'Info (Payload Bay)'!$H$6*('Aero. Chract. (Payload Bay)'!A29-'Info (Payload Bay)'!$G$6)</f>
        <v>-0.79568840262582041</v>
      </c>
      <c r="J29" s="13">
        <f>'Info (Payload Bay)'!$J$6*('Aero. Chract. (Payload Bay)'!A29-'Info (Payload Bay)'!$G$6)</f>
        <v>-0.36500514586092181</v>
      </c>
      <c r="M29" s="13">
        <f t="shared" si="0"/>
        <v>-23.554313099041533</v>
      </c>
      <c r="N29" s="13" t="e">
        <f t="shared" si="2"/>
        <v>#DIV/0!</v>
      </c>
      <c r="O29" s="13">
        <f t="shared" si="1"/>
        <v>-4.2455069515089865E-2</v>
      </c>
      <c r="P29" s="13" t="e">
        <f t="shared" si="3"/>
        <v>#DIV/0!</v>
      </c>
    </row>
    <row r="30" spans="1:16">
      <c r="A30" s="12">
        <v>-14</v>
      </c>
      <c r="B30" s="12">
        <v>-0.81420000000000003</v>
      </c>
      <c r="C30" s="12">
        <v>5.4539999999999998E-2</v>
      </c>
      <c r="D30" s="12">
        <v>4.9750000000000003E-2</v>
      </c>
      <c r="E30" s="12">
        <v>-9.8699999999999996E-2</v>
      </c>
      <c r="F30" s="12">
        <v>1</v>
      </c>
      <c r="G30" s="12">
        <v>5.6000000000000001E-2</v>
      </c>
      <c r="H30"/>
      <c r="M30" s="13">
        <f t="shared" si="0"/>
        <v>-14.928492849284929</v>
      </c>
      <c r="O30" s="13">
        <f t="shared" si="1"/>
        <v>-6.6985998526160648E-2</v>
      </c>
    </row>
    <row r="31" spans="1:16">
      <c r="A31" s="12">
        <v>-16</v>
      </c>
      <c r="B31" s="12">
        <v>-0.22539999999999999</v>
      </c>
      <c r="C31" s="12">
        <v>0.16083</v>
      </c>
      <c r="D31" s="12">
        <v>0.15756000000000001</v>
      </c>
      <c r="E31" s="12">
        <v>-4.1399999999999999E-2</v>
      </c>
      <c r="F31" s="12">
        <v>1</v>
      </c>
      <c r="G31" s="12">
        <v>6.3299999999999995E-2</v>
      </c>
      <c r="H31"/>
      <c r="M31" s="13">
        <f t="shared" si="0"/>
        <v>-1.4014798234160293</v>
      </c>
      <c r="O31" s="13">
        <f t="shared" si="1"/>
        <v>-0.71353149955634432</v>
      </c>
    </row>
    <row r="32" spans="1:16">
      <c r="A32" s="12">
        <v>-18</v>
      </c>
      <c r="B32" s="12">
        <v>-0.22040000000000001</v>
      </c>
      <c r="C32" s="12">
        <v>0.17191000000000001</v>
      </c>
      <c r="D32" s="12">
        <v>0.16853000000000001</v>
      </c>
      <c r="E32" s="12">
        <v>-4.2200000000000001E-2</v>
      </c>
      <c r="F32" s="12">
        <v>1</v>
      </c>
      <c r="G32" s="12">
        <v>5.5199999999999999E-2</v>
      </c>
      <c r="H32"/>
      <c r="M32" s="13">
        <f t="shared" si="0"/>
        <v>-1.2820661974288872</v>
      </c>
      <c r="O32" s="13">
        <f t="shared" si="1"/>
        <v>-0.77999092558983674</v>
      </c>
    </row>
    <row r="33" spans="1:8">
      <c r="A33"/>
      <c r="B33"/>
      <c r="C33"/>
      <c r="D33"/>
      <c r="E33"/>
      <c r="F33"/>
      <c r="G33"/>
      <c r="H33"/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G16" sqref="G16"/>
    </sheetView>
  </sheetViews>
  <sheetFormatPr defaultRowHeight="15"/>
  <cols>
    <col min="1" max="1" width="16.85546875" style="18" bestFit="1" customWidth="1"/>
    <col min="2" max="2" width="11" style="18" bestFit="1" customWidth="1"/>
    <col min="3" max="3" width="11" style="18" customWidth="1"/>
    <col min="4" max="4" width="21.85546875" style="18" bestFit="1" customWidth="1"/>
    <col min="5" max="5" width="10" style="18" customWidth="1"/>
    <col min="6" max="6" width="12" style="18" bestFit="1" customWidth="1"/>
    <col min="7" max="7" width="12.140625" style="18" bestFit="1" customWidth="1"/>
    <col min="8" max="9" width="11.42578125" style="18" customWidth="1"/>
    <col min="10" max="10" width="11.85546875" style="18" bestFit="1" customWidth="1"/>
    <col min="11" max="11" width="11.140625" style="18" bestFit="1" customWidth="1"/>
    <col min="12" max="12" width="24.28515625" style="18" bestFit="1" customWidth="1"/>
    <col min="13" max="13" width="11.85546875" style="18" bestFit="1" customWidth="1"/>
    <col min="14" max="14" width="11.140625" style="18" bestFit="1" customWidth="1"/>
    <col min="15" max="16" width="17.42578125" style="18" bestFit="1" customWidth="1"/>
    <col min="17" max="16384" width="9.140625" style="18"/>
  </cols>
  <sheetData>
    <row r="1" spans="1:20" ht="17.25">
      <c r="A1" s="17" t="s">
        <v>44</v>
      </c>
      <c r="B1" s="17" t="s">
        <v>78</v>
      </c>
      <c r="C1" s="16"/>
      <c r="D1" s="17" t="s">
        <v>49</v>
      </c>
      <c r="E1" s="17">
        <v>8</v>
      </c>
      <c r="F1" s="16"/>
      <c r="G1" s="17"/>
      <c r="H1" s="17" t="s">
        <v>53</v>
      </c>
      <c r="I1" s="17" t="s">
        <v>54</v>
      </c>
      <c r="K1" s="15" t="s">
        <v>36</v>
      </c>
      <c r="L1" s="15" t="s">
        <v>69</v>
      </c>
      <c r="M1" s="15" t="s">
        <v>70</v>
      </c>
    </row>
    <row r="2" spans="1:20" ht="18">
      <c r="A2" s="17" t="s">
        <v>37</v>
      </c>
      <c r="B2" s="17">
        <v>250000</v>
      </c>
      <c r="C2" s="16"/>
      <c r="D2" s="17" t="s">
        <v>74</v>
      </c>
      <c r="E2" s="17">
        <v>80</v>
      </c>
      <c r="F2" s="16"/>
      <c r="G2" s="17" t="s">
        <v>50</v>
      </c>
      <c r="H2" s="17">
        <v>87</v>
      </c>
      <c r="I2" s="17">
        <f>H2/144</f>
        <v>0.60416666666666663</v>
      </c>
      <c r="J2" s="16"/>
      <c r="K2" s="17">
        <f>C7/B7</f>
        <v>1</v>
      </c>
      <c r="L2" s="17">
        <f>(2/3)*B7*(1+K2+K2^2)/(1+K2)</f>
        <v>6</v>
      </c>
      <c r="M2" s="17">
        <f>(12*E3/6)*((1+2*K2)/(1+K2))</f>
        <v>7.2500099999999996</v>
      </c>
      <c r="N2" s="16"/>
      <c r="O2" s="16"/>
    </row>
    <row r="3" spans="1:20">
      <c r="A3" s="17" t="s">
        <v>33</v>
      </c>
      <c r="B3" s="17">
        <v>0.18</v>
      </c>
      <c r="C3" s="16"/>
      <c r="D3" s="17" t="s">
        <v>51</v>
      </c>
      <c r="E3" s="17">
        <v>2.4166699999999999</v>
      </c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20" ht="18.75">
      <c r="A4" s="11" t="s">
        <v>52</v>
      </c>
      <c r="B4" s="17">
        <f>'Standard Atm.'!A8</f>
        <v>2.2878199999999999E-3</v>
      </c>
      <c r="C4" s="16"/>
      <c r="D4" s="16"/>
      <c r="E4" s="16"/>
      <c r="F4" s="16"/>
      <c r="G4" s="15" t="s">
        <v>79</v>
      </c>
      <c r="H4" s="19" t="s">
        <v>39</v>
      </c>
      <c r="I4" s="19"/>
      <c r="J4" s="19" t="s">
        <v>38</v>
      </c>
      <c r="K4" s="19"/>
      <c r="M4" s="16"/>
      <c r="N4" s="16"/>
      <c r="O4" s="16"/>
    </row>
    <row r="5" spans="1:20">
      <c r="A5" s="16"/>
      <c r="B5" s="16"/>
      <c r="C5" s="16"/>
      <c r="D5" s="16"/>
      <c r="E5" s="16"/>
      <c r="F5" s="16"/>
      <c r="G5" s="15" t="s">
        <v>71</v>
      </c>
      <c r="H5" s="15" t="s">
        <v>72</v>
      </c>
      <c r="I5" s="15" t="s">
        <v>73</v>
      </c>
      <c r="J5" s="15" t="s">
        <v>72</v>
      </c>
      <c r="K5" s="15" t="s">
        <v>73</v>
      </c>
      <c r="M5" s="16"/>
      <c r="N5" s="16"/>
      <c r="O5" s="16"/>
    </row>
    <row r="6" spans="1:20">
      <c r="A6" s="17"/>
      <c r="B6" s="17" t="s">
        <v>45</v>
      </c>
      <c r="C6" s="17" t="s">
        <v>46</v>
      </c>
      <c r="D6" s="16"/>
      <c r="E6" s="16"/>
      <c r="F6" s="16"/>
      <c r="G6" s="15">
        <f>('Aero. Chract. (Bar)'!A25)-(('Aero. Chract. (Bar)'!B25)/(('Aero. Chract. (Bar)'!B25-'Aero. Chract. (Bar)'!B26)/('Aero. Chract. (Bar)'!A25-'Aero. Chract. (Bar)'!A26)))</f>
        <v>-4.3133553563001419</v>
      </c>
      <c r="H6" s="15">
        <f>('Aero. Chract. (Bar)'!B23-0)/(0-'Info. (Bar)'!G6)</f>
        <v>0.10351570021881837</v>
      </c>
      <c r="I6" s="15">
        <f>H6*180/PI()</f>
        <v>5.9310127358797455</v>
      </c>
      <c r="J6" s="15">
        <f>K6*PI()/180</f>
        <v>8.3613129690694385E-2</v>
      </c>
      <c r="K6" s="15">
        <f>I6*COS(C11)/(SQRT(1+(I6*COS(C11)/(PI()*F9))^2)+(I6*COS(C11)/(PI()*F9)))</f>
        <v>4.7906794431567823</v>
      </c>
      <c r="Q6" s="16"/>
      <c r="R6" s="16"/>
      <c r="S6" s="16"/>
      <c r="T6" s="16"/>
    </row>
    <row r="7" spans="1:20">
      <c r="A7" s="17" t="s">
        <v>47</v>
      </c>
      <c r="B7" s="17">
        <v>6</v>
      </c>
      <c r="C7" s="17">
        <v>6</v>
      </c>
      <c r="D7" s="16"/>
      <c r="L7" s="16"/>
      <c r="M7" s="16"/>
      <c r="N7" s="16"/>
      <c r="O7" s="16"/>
      <c r="P7" s="16"/>
    </row>
    <row r="8" spans="1:20" ht="18">
      <c r="A8" s="17" t="s">
        <v>48</v>
      </c>
      <c r="B8" s="17">
        <f>B7*B3</f>
        <v>1.08</v>
      </c>
      <c r="C8" s="17">
        <f>C7*B3</f>
        <v>1.08</v>
      </c>
      <c r="D8" s="16"/>
      <c r="E8" s="17"/>
      <c r="F8" s="17" t="s">
        <v>35</v>
      </c>
      <c r="G8" s="17" t="s">
        <v>34</v>
      </c>
      <c r="H8" s="17" t="s">
        <v>65</v>
      </c>
      <c r="I8" s="17" t="s">
        <v>66</v>
      </c>
      <c r="J8" s="17" t="s">
        <v>67</v>
      </c>
      <c r="K8" s="17" t="s">
        <v>68</v>
      </c>
      <c r="L8" s="17" t="s">
        <v>75</v>
      </c>
      <c r="M8" s="16"/>
      <c r="N8" s="16"/>
      <c r="O8" s="16"/>
    </row>
    <row r="9" spans="1:20">
      <c r="A9" s="16"/>
      <c r="B9" s="16"/>
      <c r="C9" s="16"/>
      <c r="D9" s="16"/>
      <c r="E9" s="17" t="s">
        <v>63</v>
      </c>
      <c r="F9" s="20">
        <f>E3^2/I2</f>
        <v>9.6666933333517235</v>
      </c>
      <c r="G9" s="17">
        <f>(-((('Aero. Chract. (Bar)'!$E$15-'Aero. Chract. (Bar)'!$E$23)/(16-0))/((MAX('Aero. Chract. (Bar)'!B13:B32)-'Aero. Chract. (Bar)'!$B$23)/(16-0)))+0.25)*100</f>
        <v>18.9450050921211</v>
      </c>
      <c r="H9" s="17">
        <f>SQRT((2*$E$1)/($B$4*$I$2*MAX('Aero. Chract. (Bar)'!B13:B32)))</f>
        <v>87.077921857736129</v>
      </c>
      <c r="I9" s="17">
        <f>SQRT((2*$E$1)/($B$4*$I$2*'Aero. Chract. (Bar)'!$B$23))</f>
        <v>161.01263350118489</v>
      </c>
      <c r="J9" s="17">
        <f>0.5*MAX('Aero. Chract. (Bar)'!B13:B32)*$I$2*$B$4*$H$9^2</f>
        <v>8.0000000000000018</v>
      </c>
      <c r="K9" s="17">
        <f>0.5*'Aero. Chract. (Bar)'!$B$23*$I$2*$B$4*$I$9^2</f>
        <v>8</v>
      </c>
      <c r="L9" s="17">
        <f>0.5*'Aero. Chract. (Bar)'!$B$23*$I$2*$B$4*$E$2^2</f>
        <v>1.9749224846666666</v>
      </c>
      <c r="N9" s="10"/>
      <c r="O9" s="10"/>
    </row>
    <row r="10" spans="1:20">
      <c r="A10" s="15"/>
      <c r="B10" s="17" t="s">
        <v>71</v>
      </c>
      <c r="C10" s="17" t="s">
        <v>81</v>
      </c>
      <c r="D10" s="16"/>
      <c r="E10" s="17" t="s">
        <v>64</v>
      </c>
      <c r="F10" s="21"/>
      <c r="G10" s="17"/>
      <c r="H10" s="17">
        <f>SQRT((2*$E$1)/($B$4*$I$2*MAX('Aero. Chract. (Bar)'!J14:J33)))</f>
        <v>82.554853701785404</v>
      </c>
      <c r="I10" s="17">
        <f>SQRT((2*$E$1)/($B$4*$I$2*'Aero. Chract. (Bar)'!$J$23))</f>
        <v>179.15371801682542</v>
      </c>
      <c r="J10" s="17">
        <f>0.5*MAX('Aero. Chract. (Bar)'!J15:J29)*$I$2*$B$4*$H$10^2</f>
        <v>7.9999999999999991</v>
      </c>
      <c r="K10" s="17">
        <f>0.5*'Aero. Chract. (Bar)'!$J$23*$I$2*$B$4*$I$10^2</f>
        <v>8.0000000000000018</v>
      </c>
      <c r="L10" s="17">
        <f>0.5*'Aero. Chract. (Bar)'!$J$23*$I$2*$B$4*$E$2^2</f>
        <v>1.5952116393014855</v>
      </c>
      <c r="O10" s="16"/>
    </row>
    <row r="11" spans="1:20">
      <c r="A11" s="17" t="s">
        <v>80</v>
      </c>
      <c r="B11" s="17">
        <v>12.5</v>
      </c>
      <c r="C11" s="17">
        <f>B11*PI()/180</f>
        <v>0.21816615649929119</v>
      </c>
      <c r="D11" s="16"/>
      <c r="F11" s="16"/>
      <c r="G11" s="16"/>
      <c r="H11" s="9"/>
      <c r="I11" s="9"/>
      <c r="J11" s="16"/>
      <c r="K11" s="9"/>
      <c r="L11" s="16"/>
      <c r="M11" s="16"/>
      <c r="N11" s="16"/>
      <c r="O11" s="16"/>
    </row>
    <row r="12" spans="1:20">
      <c r="A12" s="16"/>
      <c r="B12" s="16"/>
      <c r="C12" s="16"/>
      <c r="D12" s="16"/>
      <c r="E12" s="16"/>
      <c r="F12" s="16"/>
      <c r="G12" s="16"/>
      <c r="I12" s="16"/>
      <c r="J12" s="16"/>
      <c r="L12" s="16"/>
      <c r="M12" s="16"/>
      <c r="N12" s="16"/>
      <c r="O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20" ht="15" customHeight="1">
      <c r="A14" s="16"/>
      <c r="B14" s="16"/>
      <c r="C14" s="16"/>
      <c r="E14" s="9"/>
      <c r="F14" s="9"/>
      <c r="G14" s="16"/>
      <c r="H14" s="16"/>
      <c r="I14" s="16"/>
      <c r="J14" s="16"/>
      <c r="K14" s="16"/>
    </row>
    <row r="15" spans="1:20" ht="15" customHeight="1">
      <c r="A15" s="16"/>
      <c r="B15" s="16"/>
      <c r="C15" s="16"/>
    </row>
    <row r="16" spans="1:20" ht="15" customHeight="1"/>
    <row r="17" spans="2:2" ht="15" customHeight="1"/>
    <row r="18" spans="2:2">
      <c r="B18" s="16"/>
    </row>
    <row r="19" spans="2:2">
      <c r="B19" s="16"/>
    </row>
    <row r="20" spans="2:2" ht="15" customHeight="1"/>
  </sheetData>
  <mergeCells count="3">
    <mergeCell ref="H4:I4"/>
    <mergeCell ref="J4:K4"/>
    <mergeCell ref="F9:F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3"/>
  <sheetViews>
    <sheetView topLeftCell="A4" workbookViewId="0">
      <selection activeCell="J15" sqref="J15:J29"/>
    </sheetView>
  </sheetViews>
  <sheetFormatPr defaultRowHeight="15"/>
  <cols>
    <col min="1" max="1" width="10.28515625" style="16" bestFit="1" customWidth="1"/>
    <col min="2" max="2" width="7.85546875" style="16" bestFit="1" customWidth="1"/>
    <col min="3" max="3" width="9.140625" style="16" bestFit="1" customWidth="1"/>
    <col min="4" max="4" width="8" style="16" bestFit="1" customWidth="1"/>
    <col min="5" max="5" width="9.140625" style="16"/>
    <col min="6" max="6" width="9" style="16" bestFit="1" customWidth="1"/>
    <col min="7" max="7" width="8" style="16" bestFit="1" customWidth="1"/>
    <col min="8" max="8" width="5.5703125" style="16" bestFit="1" customWidth="1"/>
    <col min="9" max="9" width="13.7109375" style="16" customWidth="1"/>
    <col min="10" max="16384" width="9.140625" style="16"/>
  </cols>
  <sheetData>
    <row r="1" spans="1:16">
      <c r="A1" s="12"/>
      <c r="B1" s="12"/>
      <c r="C1" s="12"/>
      <c r="D1" s="12"/>
      <c r="E1" s="12"/>
      <c r="F1" s="12"/>
      <c r="G1" s="12"/>
      <c r="H1" s="12"/>
    </row>
    <row r="2" spans="1:16">
      <c r="A2" s="12" t="s">
        <v>10</v>
      </c>
      <c r="B2" s="12" t="s">
        <v>11</v>
      </c>
      <c r="C2" s="12">
        <v>6.96</v>
      </c>
      <c r="D2" s="12"/>
      <c r="E2" s="12"/>
      <c r="F2" s="12"/>
      <c r="G2" s="12"/>
      <c r="H2" s="12"/>
    </row>
    <row r="3" spans="1:16">
      <c r="A3" s="12"/>
      <c r="B3" s="12"/>
      <c r="C3" s="12"/>
      <c r="D3" s="12"/>
      <c r="E3" s="12"/>
      <c r="F3" s="12"/>
      <c r="G3" s="12"/>
      <c r="H3" s="12"/>
    </row>
    <row r="4" spans="1:16">
      <c r="A4" s="12" t="s">
        <v>12</v>
      </c>
      <c r="B4" s="12" t="s">
        <v>13</v>
      </c>
      <c r="C4" s="12" t="s">
        <v>14</v>
      </c>
      <c r="D4" s="12" t="s">
        <v>55</v>
      </c>
      <c r="E4" s="12">
        <v>382</v>
      </c>
      <c r="F4" s="12"/>
      <c r="G4" s="12"/>
      <c r="H4" s="12"/>
    </row>
    <row r="5" spans="1:16">
      <c r="A5" s="12"/>
      <c r="B5" s="12"/>
      <c r="C5" s="12"/>
      <c r="D5" s="12"/>
      <c r="E5" s="12"/>
      <c r="F5" s="12"/>
      <c r="G5" s="12"/>
      <c r="H5" s="12"/>
    </row>
    <row r="6" spans="1:16">
      <c r="A6" s="12">
        <v>1</v>
      </c>
      <c r="B6" s="12">
        <v>1</v>
      </c>
      <c r="C6" s="12" t="s">
        <v>15</v>
      </c>
      <c r="D6" s="12" t="s">
        <v>16</v>
      </c>
      <c r="E6" s="12" t="s">
        <v>17</v>
      </c>
      <c r="F6" s="12" t="s">
        <v>18</v>
      </c>
      <c r="G6" s="12" t="s">
        <v>16</v>
      </c>
      <c r="H6" s="12" t="s">
        <v>17</v>
      </c>
    </row>
    <row r="7" spans="1:16">
      <c r="A7" s="12"/>
      <c r="B7" s="12"/>
      <c r="C7" s="12"/>
      <c r="D7" s="12"/>
      <c r="E7" s="12"/>
      <c r="F7" s="12"/>
      <c r="G7" s="12"/>
      <c r="H7" s="12"/>
    </row>
    <row r="8" spans="1:16">
      <c r="A8" s="12" t="s">
        <v>19</v>
      </c>
      <c r="B8" s="12" t="s">
        <v>20</v>
      </c>
      <c r="C8" s="12">
        <v>1</v>
      </c>
      <c r="D8" s="12" t="s">
        <v>21</v>
      </c>
      <c r="E8" s="12">
        <v>1</v>
      </c>
      <c r="F8" s="12" t="s">
        <v>22</v>
      </c>
      <c r="G8" s="12"/>
      <c r="H8" s="12"/>
    </row>
    <row r="9" spans="1:16">
      <c r="A9" s="12" t="s">
        <v>18</v>
      </c>
      <c r="B9" s="12" t="s">
        <v>20</v>
      </c>
      <c r="C9" s="12">
        <v>0.05</v>
      </c>
      <c r="D9" s="12" t="s">
        <v>1</v>
      </c>
      <c r="E9" s="12" t="s">
        <v>20</v>
      </c>
      <c r="F9" s="12">
        <v>0.3</v>
      </c>
      <c r="G9" s="12" t="s">
        <v>23</v>
      </c>
      <c r="H9" s="12">
        <v>6</v>
      </c>
    </row>
    <row r="10" spans="1:16">
      <c r="A10" s="12"/>
      <c r="B10" s="12"/>
      <c r="C10" s="12"/>
      <c r="D10" s="12"/>
      <c r="E10" s="12"/>
      <c r="F10" s="12"/>
      <c r="G10" s="12"/>
      <c r="H10" s="12"/>
      <c r="O10" s="16" t="s">
        <v>62</v>
      </c>
      <c r="P10" s="16" t="s">
        <v>61</v>
      </c>
    </row>
    <row r="11" spans="1:16">
      <c r="A11" s="12" t="s">
        <v>24</v>
      </c>
      <c r="B11" s="12" t="s">
        <v>40</v>
      </c>
      <c r="C11" s="12" t="s">
        <v>41</v>
      </c>
      <c r="D11" s="12" t="s">
        <v>42</v>
      </c>
      <c r="E11" s="12" t="s">
        <v>43</v>
      </c>
      <c r="F11" s="12" t="s">
        <v>26</v>
      </c>
      <c r="G11" s="12" t="s">
        <v>27</v>
      </c>
      <c r="H11" s="12"/>
      <c r="I11" s="16" t="s">
        <v>56</v>
      </c>
      <c r="J11" s="12" t="s">
        <v>25</v>
      </c>
      <c r="K11" s="12" t="s">
        <v>57</v>
      </c>
      <c r="L11" s="12" t="s">
        <v>58</v>
      </c>
      <c r="M11" s="12" t="s">
        <v>59</v>
      </c>
      <c r="N11" s="12" t="s">
        <v>28</v>
      </c>
      <c r="O11" s="12" t="s">
        <v>60</v>
      </c>
      <c r="P11" s="12" t="s">
        <v>29</v>
      </c>
    </row>
    <row r="12" spans="1:16">
      <c r="A12" s="12" t="s">
        <v>30</v>
      </c>
      <c r="B12" s="12" t="s">
        <v>31</v>
      </c>
      <c r="C12" s="12" t="s">
        <v>32</v>
      </c>
      <c r="D12" s="12" t="s">
        <v>32</v>
      </c>
      <c r="E12" s="12" t="s">
        <v>31</v>
      </c>
      <c r="F12" s="12" t="s">
        <v>31</v>
      </c>
      <c r="G12" s="12" t="s">
        <v>31</v>
      </c>
      <c r="H12" s="12"/>
      <c r="I12" s="12" t="s">
        <v>31</v>
      </c>
      <c r="J12" s="12" t="s">
        <v>31</v>
      </c>
      <c r="K12" s="12" t="s">
        <v>31</v>
      </c>
      <c r="L12" s="12" t="s">
        <v>31</v>
      </c>
      <c r="M12" s="12" t="s">
        <v>31</v>
      </c>
      <c r="N12" s="12" t="s">
        <v>31</v>
      </c>
      <c r="O12" s="12" t="s">
        <v>31</v>
      </c>
      <c r="P12" s="12" t="s">
        <v>31</v>
      </c>
    </row>
    <row r="13" spans="1:16">
      <c r="A13" s="12">
        <v>20</v>
      </c>
      <c r="B13" s="12">
        <v>1.4504999999999999</v>
      </c>
      <c r="C13" s="12">
        <v>0.11448999999999999</v>
      </c>
      <c r="D13" s="12">
        <v>0.10857</v>
      </c>
      <c r="E13" s="12">
        <v>-3.5799999999999998E-2</v>
      </c>
      <c r="F13" s="12">
        <v>9.2100000000000001E-2</v>
      </c>
      <c r="G13" s="12">
        <v>1</v>
      </c>
      <c r="H13" s="12"/>
      <c r="M13" s="16">
        <f>B13/C13</f>
        <v>12.669228753602935</v>
      </c>
      <c r="O13" s="16">
        <f>1/M13</f>
        <v>7.8931402964494995E-2</v>
      </c>
    </row>
    <row r="14" spans="1:16">
      <c r="A14" s="12">
        <v>18</v>
      </c>
      <c r="B14" s="12">
        <v>1.4718</v>
      </c>
      <c r="C14" s="12">
        <v>8.7069999999999995E-2</v>
      </c>
      <c r="D14" s="12">
        <v>8.0890000000000004E-2</v>
      </c>
      <c r="E14" s="12">
        <v>-3.09E-2</v>
      </c>
      <c r="F14" s="12">
        <v>0.12280000000000001</v>
      </c>
      <c r="G14" s="12">
        <v>1</v>
      </c>
      <c r="H14" s="12"/>
      <c r="M14" s="16">
        <f t="shared" ref="M14:M32" si="0">B14/C14</f>
        <v>16.903640748822788</v>
      </c>
      <c r="O14" s="16">
        <f t="shared" ref="O14:P32" si="1">1/M14</f>
        <v>5.9158853105041438E-2</v>
      </c>
    </row>
    <row r="15" spans="1:16">
      <c r="A15" s="12">
        <v>16</v>
      </c>
      <c r="B15" s="12">
        <v>1.5117</v>
      </c>
      <c r="C15" s="12">
        <v>5.91E-2</v>
      </c>
      <c r="D15" s="12">
        <v>5.2720000000000003E-2</v>
      </c>
      <c r="E15" s="12">
        <v>-3.0800000000000001E-2</v>
      </c>
      <c r="F15" s="12">
        <v>0.17</v>
      </c>
      <c r="G15" s="12">
        <v>1</v>
      </c>
      <c r="H15" s="12"/>
      <c r="I15" s="16">
        <f>'Info. (Bar)'!$H$6*('Aero. Chract. (Bar)'!A15-'Info. (Bar)'!$G$6)</f>
        <v>2.1027512035010938</v>
      </c>
      <c r="J15" s="16">
        <f>'Info. (Bar)'!$J$6*('Aero. Chract. (Bar)'!A15-'Info. (Bar)'!$G$6)</f>
        <v>1.6984632158594852</v>
      </c>
      <c r="K15" s="12"/>
      <c r="M15" s="16">
        <f t="shared" si="0"/>
        <v>25.578680203045685</v>
      </c>
      <c r="N15" s="16" t="e">
        <f>J15/K15</f>
        <v>#DIV/0!</v>
      </c>
      <c r="O15" s="16">
        <f t="shared" si="1"/>
        <v>3.9095058543361781E-2</v>
      </c>
      <c r="P15" s="16" t="e">
        <f>1/N15</f>
        <v>#DIV/0!</v>
      </c>
    </row>
    <row r="16" spans="1:16">
      <c r="A16" s="12">
        <v>14</v>
      </c>
      <c r="B16" s="12">
        <v>1.5266</v>
      </c>
      <c r="C16" s="12">
        <v>3.7740000000000003E-2</v>
      </c>
      <c r="D16" s="12">
        <v>3.1140000000000001E-2</v>
      </c>
      <c r="E16" s="12">
        <v>-3.7900000000000003E-2</v>
      </c>
      <c r="F16" s="12">
        <v>0.23499999999999999</v>
      </c>
      <c r="G16" s="12">
        <v>1</v>
      </c>
      <c r="H16" s="12"/>
      <c r="I16" s="16">
        <f>'Info. (Bar)'!$H$6*('Aero. Chract. (Bar)'!A16-'Info. (Bar)'!$G$6)</f>
        <v>1.8957198030634572</v>
      </c>
      <c r="J16" s="16">
        <f>'Info. (Bar)'!$J$6*('Aero. Chract. (Bar)'!A16-'Info. (Bar)'!$G$6)</f>
        <v>1.5312369564780965</v>
      </c>
      <c r="K16" s="12"/>
      <c r="M16" s="16">
        <f t="shared" si="0"/>
        <v>40.450450450450447</v>
      </c>
      <c r="N16" s="16" t="e">
        <f t="shared" ref="N16:N29" si="2">J16/K16</f>
        <v>#DIV/0!</v>
      </c>
      <c r="O16" s="16">
        <f t="shared" si="1"/>
        <v>2.472160356347439E-2</v>
      </c>
      <c r="P16" s="16" t="e">
        <f t="shared" si="1"/>
        <v>#DIV/0!</v>
      </c>
    </row>
    <row r="17" spans="1:16">
      <c r="A17" s="12">
        <v>12</v>
      </c>
      <c r="B17" s="12">
        <v>1.49</v>
      </c>
      <c r="C17" s="12">
        <v>2.5770000000000001E-2</v>
      </c>
      <c r="D17" s="12">
        <v>1.9060000000000001E-2</v>
      </c>
      <c r="E17" s="12">
        <v>-5.1999999999999998E-2</v>
      </c>
      <c r="F17" s="12">
        <v>0.30509999999999998</v>
      </c>
      <c r="G17" s="12">
        <v>1</v>
      </c>
      <c r="H17" s="12"/>
      <c r="I17" s="16">
        <f>'Info. (Bar)'!$H$6*('Aero. Chract. (Bar)'!A17-'Info. (Bar)'!$G$6)</f>
        <v>1.6886884026258204</v>
      </c>
      <c r="J17" s="16">
        <f>'Info. (Bar)'!$J$6*('Aero. Chract. (Bar)'!A17-'Info. (Bar)'!$G$6)</f>
        <v>1.3640106970967076</v>
      </c>
      <c r="K17" s="12"/>
      <c r="M17" s="16">
        <f t="shared" si="0"/>
        <v>57.819169577027552</v>
      </c>
      <c r="N17" s="16" t="e">
        <f t="shared" si="2"/>
        <v>#DIV/0!</v>
      </c>
      <c r="O17" s="16">
        <f t="shared" si="1"/>
        <v>1.729530201342282E-2</v>
      </c>
      <c r="P17" s="16" t="e">
        <f t="shared" si="1"/>
        <v>#DIV/0!</v>
      </c>
    </row>
    <row r="18" spans="1:16">
      <c r="A18" s="12">
        <v>10</v>
      </c>
      <c r="B18" s="12">
        <v>1.4023000000000001</v>
      </c>
      <c r="C18" s="12">
        <v>2.0129999999999999E-2</v>
      </c>
      <c r="D18" s="12">
        <v>1.323E-2</v>
      </c>
      <c r="E18" s="12">
        <v>-6.8599999999999994E-2</v>
      </c>
      <c r="F18" s="12">
        <v>0.36990000000000001</v>
      </c>
      <c r="G18" s="12">
        <v>1</v>
      </c>
      <c r="H18" s="12"/>
      <c r="I18" s="16">
        <f>'Info. (Bar)'!$H$6*('Aero. Chract. (Bar)'!A18-'Info. (Bar)'!$G$6)</f>
        <v>1.4816570021881839</v>
      </c>
      <c r="J18" s="16">
        <f>'Info. (Bar)'!$J$6*('Aero. Chract. (Bar)'!A18-'Info. (Bar)'!$G$6)</f>
        <v>1.1967844377153189</v>
      </c>
      <c r="K18" s="12"/>
      <c r="M18" s="16">
        <f t="shared" si="0"/>
        <v>69.662195727769515</v>
      </c>
      <c r="N18" s="16" t="e">
        <f t="shared" si="2"/>
        <v>#DIV/0!</v>
      </c>
      <c r="O18" s="16">
        <f t="shared" si="1"/>
        <v>1.4354988233616198E-2</v>
      </c>
      <c r="P18" s="16" t="e">
        <f t="shared" si="1"/>
        <v>#DIV/0!</v>
      </c>
    </row>
    <row r="19" spans="1:16">
      <c r="A19" s="12">
        <v>8</v>
      </c>
      <c r="B19" s="12">
        <v>1.2779</v>
      </c>
      <c r="C19" s="12">
        <v>1.7479999999999999E-2</v>
      </c>
      <c r="D19" s="12">
        <v>1.0460000000000001E-2</v>
      </c>
      <c r="E19" s="12">
        <v>-8.4699999999999998E-2</v>
      </c>
      <c r="F19" s="12">
        <v>0.42509999999999998</v>
      </c>
      <c r="G19" s="12">
        <v>1</v>
      </c>
      <c r="H19" s="12"/>
      <c r="I19" s="16">
        <f>'Info. (Bar)'!$H$6*('Aero. Chract. (Bar)'!A19-'Info. (Bar)'!$G$6)</f>
        <v>1.2746256017505471</v>
      </c>
      <c r="J19" s="16">
        <f>'Info. (Bar)'!$J$6*('Aero. Chract. (Bar)'!A19-'Info. (Bar)'!$G$6)</f>
        <v>1.0295581783339303</v>
      </c>
      <c r="K19" s="12"/>
      <c r="M19" s="16">
        <f t="shared" si="0"/>
        <v>73.106407322654462</v>
      </c>
      <c r="N19" s="16" t="e">
        <f t="shared" si="2"/>
        <v>#DIV/0!</v>
      </c>
      <c r="O19" s="16">
        <f t="shared" si="1"/>
        <v>1.3678691603411848E-2</v>
      </c>
      <c r="P19" s="16" t="e">
        <f t="shared" si="1"/>
        <v>#DIV/0!</v>
      </c>
    </row>
    <row r="20" spans="1:16">
      <c r="A20" s="12">
        <v>6</v>
      </c>
      <c r="B20" s="12">
        <v>1.1107</v>
      </c>
      <c r="C20" s="12">
        <v>1.5559999999999999E-2</v>
      </c>
      <c r="D20" s="12">
        <v>8.4399999999999996E-3</v>
      </c>
      <c r="E20" s="12">
        <v>-9.4600000000000004E-2</v>
      </c>
      <c r="F20" s="12">
        <v>0.47460000000000002</v>
      </c>
      <c r="G20" s="12">
        <v>1</v>
      </c>
      <c r="H20" s="12"/>
      <c r="I20" s="16">
        <f>'Info. (Bar)'!$H$6*('Aero. Chract. (Bar)'!A20-'Info. (Bar)'!$G$6)</f>
        <v>1.0675942013129103</v>
      </c>
      <c r="J20" s="16">
        <f>'Info. (Bar)'!$J$6*('Aero. Chract. (Bar)'!A20-'Info. (Bar)'!$G$6)</f>
        <v>0.86233191895254147</v>
      </c>
      <c r="K20" s="12"/>
      <c r="M20" s="16">
        <f t="shared" si="0"/>
        <v>71.381748071979445</v>
      </c>
      <c r="N20" s="16" t="e">
        <f t="shared" si="2"/>
        <v>#DIV/0!</v>
      </c>
      <c r="O20" s="16">
        <f t="shared" si="1"/>
        <v>1.4009183397857205E-2</v>
      </c>
      <c r="P20" s="16" t="e">
        <f t="shared" si="1"/>
        <v>#DIV/0!</v>
      </c>
    </row>
    <row r="21" spans="1:16">
      <c r="A21" s="12">
        <v>4</v>
      </c>
      <c r="B21" s="12">
        <v>0.93089999999999995</v>
      </c>
      <c r="C21" s="12">
        <v>1.3809999999999999E-2</v>
      </c>
      <c r="D21" s="12">
        <v>6.9899999999999997E-3</v>
      </c>
      <c r="E21" s="12">
        <v>-0.1026</v>
      </c>
      <c r="F21" s="12">
        <v>0.52049999999999996</v>
      </c>
      <c r="G21" s="12">
        <v>1</v>
      </c>
      <c r="H21" s="12"/>
      <c r="I21" s="16">
        <f>'Info. (Bar)'!$H$6*('Aero. Chract. (Bar)'!A21-'Info. (Bar)'!$G$6)</f>
        <v>0.86056280087527359</v>
      </c>
      <c r="J21" s="16">
        <f>'Info. (Bar)'!$J$6*('Aero. Chract. (Bar)'!A21-'Info. (Bar)'!$G$6)</f>
        <v>0.69510565957115267</v>
      </c>
      <c r="K21" s="12"/>
      <c r="M21" s="16">
        <f t="shared" si="0"/>
        <v>67.407675597393194</v>
      </c>
      <c r="N21" s="16" t="e">
        <f t="shared" si="2"/>
        <v>#DIV/0!</v>
      </c>
      <c r="O21" s="16">
        <f t="shared" si="1"/>
        <v>1.4835105811580191E-2</v>
      </c>
      <c r="P21" s="16" t="e">
        <f t="shared" si="1"/>
        <v>#DIV/0!</v>
      </c>
    </row>
    <row r="22" spans="1:16">
      <c r="A22" s="12">
        <v>2</v>
      </c>
      <c r="B22" s="12">
        <v>0.70569999999999999</v>
      </c>
      <c r="C22" s="12">
        <v>1.2579999999999999E-2</v>
      </c>
      <c r="D22" s="12">
        <v>6.1399999999999996E-3</v>
      </c>
      <c r="E22" s="12">
        <v>-0.10050000000000001</v>
      </c>
      <c r="F22" s="12">
        <v>0.57210000000000005</v>
      </c>
      <c r="G22" s="12">
        <v>0.9798</v>
      </c>
      <c r="H22" s="12"/>
      <c r="I22" s="16">
        <f>'Info. (Bar)'!$H$6*('Aero. Chract. (Bar)'!A22-'Info. (Bar)'!$G$6)</f>
        <v>0.65353140043763669</v>
      </c>
      <c r="J22" s="16">
        <f>'Info. (Bar)'!$J$6*('Aero. Chract. (Bar)'!A22-'Info. (Bar)'!$G$6)</f>
        <v>0.52787940018976387</v>
      </c>
      <c r="K22" s="12"/>
      <c r="M22" s="16">
        <f t="shared" si="0"/>
        <v>56.096979332273456</v>
      </c>
      <c r="N22" s="16" t="e">
        <f t="shared" si="2"/>
        <v>#DIV/0!</v>
      </c>
      <c r="O22" s="16">
        <f t="shared" si="1"/>
        <v>1.7826271786878276E-2</v>
      </c>
      <c r="P22" s="16" t="e">
        <f t="shared" si="1"/>
        <v>#DIV/0!</v>
      </c>
    </row>
    <row r="23" spans="1:16">
      <c r="A23" s="12">
        <v>0</v>
      </c>
      <c r="B23" s="12">
        <v>0.44650000000000001</v>
      </c>
      <c r="C23" s="12">
        <v>1.159E-2</v>
      </c>
      <c r="D23" s="12">
        <v>5.1200000000000004E-3</v>
      </c>
      <c r="E23" s="12">
        <v>-9.6199999999999994E-2</v>
      </c>
      <c r="F23" s="12">
        <v>0.63539999999999996</v>
      </c>
      <c r="G23" s="12">
        <v>0.6915</v>
      </c>
      <c r="H23" s="12"/>
      <c r="I23" s="16">
        <f>'Info. (Bar)'!$H$6*('Aero. Chract. (Bar)'!A23-'Info. (Bar)'!$G$6)</f>
        <v>0.44649999999999995</v>
      </c>
      <c r="J23" s="16">
        <f>'Info. (Bar)'!$J$6*('Aero. Chract. (Bar)'!A23-'Info. (Bar)'!$G$6)</f>
        <v>0.36065314080837507</v>
      </c>
      <c r="K23" s="12"/>
      <c r="M23" s="16">
        <f t="shared" si="0"/>
        <v>38.524590163934427</v>
      </c>
      <c r="N23" s="16" t="e">
        <f t="shared" si="2"/>
        <v>#DIV/0!</v>
      </c>
      <c r="O23" s="16">
        <f t="shared" si="1"/>
        <v>2.5957446808510639E-2</v>
      </c>
      <c r="P23" s="16" t="e">
        <f t="shared" si="1"/>
        <v>#DIV/0!</v>
      </c>
    </row>
    <row r="24" spans="1:16">
      <c r="A24" s="12">
        <v>-2</v>
      </c>
      <c r="B24" s="12">
        <v>0.2472</v>
      </c>
      <c r="C24" s="12">
        <v>1.278E-2</v>
      </c>
      <c r="D24" s="12">
        <v>5.2599999999999999E-3</v>
      </c>
      <c r="E24" s="12">
        <v>-0.1019</v>
      </c>
      <c r="F24" s="12">
        <v>0.71419999999999995</v>
      </c>
      <c r="G24" s="12">
        <v>0.3175</v>
      </c>
      <c r="H24" s="12"/>
      <c r="I24" s="16">
        <f>'Info. (Bar)'!$H$6*('Aero. Chract. (Bar)'!A24-'Info. (Bar)'!$G$6)</f>
        <v>0.23946859956236324</v>
      </c>
      <c r="J24" s="16">
        <f>'Info. (Bar)'!$J$6*('Aero. Chract. (Bar)'!A24-'Info. (Bar)'!$G$6)</f>
        <v>0.19342688142698627</v>
      </c>
      <c r="K24" s="12"/>
      <c r="M24" s="16">
        <f t="shared" si="0"/>
        <v>19.342723004694836</v>
      </c>
      <c r="N24" s="16" t="e">
        <f t="shared" si="2"/>
        <v>#DIV/0!</v>
      </c>
      <c r="O24" s="16">
        <f t="shared" si="1"/>
        <v>5.1699029126213589E-2</v>
      </c>
      <c r="P24" s="16" t="e">
        <f t="shared" si="1"/>
        <v>#DIV/0!</v>
      </c>
    </row>
    <row r="25" spans="1:16">
      <c r="A25" s="12">
        <v>-4</v>
      </c>
      <c r="B25" s="12">
        <v>3.32E-2</v>
      </c>
      <c r="C25" s="12">
        <v>1.417E-2</v>
      </c>
      <c r="D25" s="12">
        <v>6.6499999999999997E-3</v>
      </c>
      <c r="E25" s="12">
        <v>-0.10489999999999999</v>
      </c>
      <c r="F25" s="12">
        <v>0.79579999999999995</v>
      </c>
      <c r="G25" s="12">
        <v>0.1956</v>
      </c>
      <c r="H25" s="12"/>
      <c r="I25" s="16">
        <f>'Info. (Bar)'!$H$6*('Aero. Chract. (Bar)'!A25-'Info. (Bar)'!$G$6)</f>
        <v>3.2437199124726507E-2</v>
      </c>
      <c r="J25" s="16">
        <f>'Info. (Bar)'!$J$6*('Aero. Chract. (Bar)'!A25-'Info. (Bar)'!$G$6)</f>
        <v>2.6200622045597512E-2</v>
      </c>
      <c r="K25" s="12"/>
      <c r="M25" s="16">
        <f t="shared" si="0"/>
        <v>2.3429781227946367</v>
      </c>
      <c r="N25" s="16" t="e">
        <f t="shared" si="2"/>
        <v>#DIV/0!</v>
      </c>
      <c r="O25" s="16">
        <f t="shared" si="1"/>
        <v>0.42680722891566264</v>
      </c>
      <c r="P25" s="16" t="e">
        <f t="shared" si="1"/>
        <v>#DIV/0!</v>
      </c>
    </row>
    <row r="26" spans="1:16">
      <c r="A26" s="12">
        <v>-6</v>
      </c>
      <c r="B26" s="12">
        <v>-0.1787</v>
      </c>
      <c r="C26" s="12">
        <v>1.6750000000000001E-2</v>
      </c>
      <c r="D26" s="12">
        <v>9.1999999999999998E-3</v>
      </c>
      <c r="E26" s="12">
        <v>-0.1081</v>
      </c>
      <c r="F26" s="12">
        <v>0.86550000000000005</v>
      </c>
      <c r="G26" s="12">
        <v>0.1305</v>
      </c>
      <c r="H26" s="12"/>
      <c r="I26" s="16">
        <f>'Info. (Bar)'!$H$6*('Aero. Chract. (Bar)'!A26-'Info. (Bar)'!$G$6)</f>
        <v>-0.17459420131291023</v>
      </c>
      <c r="J26" s="16">
        <f>'Info. (Bar)'!$J$6*('Aero. Chract. (Bar)'!A26-'Info. (Bar)'!$G$6)</f>
        <v>-0.14102563733579127</v>
      </c>
      <c r="K26" s="12"/>
      <c r="M26" s="16">
        <f t="shared" si="0"/>
        <v>-10.66865671641791</v>
      </c>
      <c r="N26" s="16" t="e">
        <f t="shared" si="2"/>
        <v>#DIV/0!</v>
      </c>
      <c r="O26" s="16">
        <f t="shared" si="1"/>
        <v>-9.3732512590934527E-2</v>
      </c>
      <c r="P26" s="16" t="e">
        <f t="shared" si="1"/>
        <v>#DIV/0!</v>
      </c>
    </row>
    <row r="27" spans="1:16">
      <c r="A27" s="12">
        <v>-8</v>
      </c>
      <c r="B27" s="12">
        <v>-0.40960000000000002</v>
      </c>
      <c r="C27" s="12">
        <v>2.0979999999999999E-2</v>
      </c>
      <c r="D27" s="12">
        <v>1.3679999999999999E-2</v>
      </c>
      <c r="E27" s="12">
        <v>-0.10730000000000001</v>
      </c>
      <c r="F27" s="12">
        <v>0.91269999999999996</v>
      </c>
      <c r="G27" s="12">
        <v>9.4100000000000003E-2</v>
      </c>
      <c r="H27" s="12"/>
      <c r="I27" s="16">
        <f>'Info. (Bar)'!$H$6*('Aero. Chract. (Bar)'!A27-'Info. (Bar)'!$G$6)</f>
        <v>-0.38162560175054699</v>
      </c>
      <c r="J27" s="16">
        <f>'Info. (Bar)'!$J$6*('Aero. Chract. (Bar)'!A27-'Info. (Bar)'!$G$6)</f>
        <v>-0.30825189671718001</v>
      </c>
      <c r="M27" s="16">
        <f t="shared" si="0"/>
        <v>-19.523355576739753</v>
      </c>
      <c r="N27" s="16" t="e">
        <f t="shared" si="2"/>
        <v>#DIV/0!</v>
      </c>
      <c r="O27" s="16">
        <f t="shared" si="1"/>
        <v>-5.1220703124999996E-2</v>
      </c>
      <c r="P27" s="16" t="e">
        <f t="shared" si="1"/>
        <v>#DIV/0!</v>
      </c>
    </row>
    <row r="28" spans="1:16">
      <c r="A28" s="12">
        <v>-10</v>
      </c>
      <c r="B28" s="12">
        <v>-0.67130000000000001</v>
      </c>
      <c r="C28" s="12">
        <v>2.7470000000000001E-2</v>
      </c>
      <c r="D28" s="12">
        <v>2.0590000000000001E-2</v>
      </c>
      <c r="E28" s="12">
        <v>-9.7299999999999998E-2</v>
      </c>
      <c r="F28" s="12">
        <v>0.94620000000000004</v>
      </c>
      <c r="G28" s="12">
        <v>7.2599999999999998E-2</v>
      </c>
      <c r="H28" s="12"/>
      <c r="I28" s="16">
        <f>'Info. (Bar)'!$H$6*('Aero. Chract. (Bar)'!A28-'Info. (Bar)'!$G$6)</f>
        <v>-0.58865700218818373</v>
      </c>
      <c r="J28" s="16">
        <f>'Info. (Bar)'!$J$6*('Aero. Chract. (Bar)'!A28-'Info. (Bar)'!$G$6)</f>
        <v>-0.4754781560985688</v>
      </c>
      <c r="M28" s="16">
        <f t="shared" si="0"/>
        <v>-24.437568256279576</v>
      </c>
      <c r="N28" s="16" t="e">
        <f t="shared" si="2"/>
        <v>#DIV/0!</v>
      </c>
      <c r="O28" s="16">
        <f t="shared" si="1"/>
        <v>-4.0920601817369284E-2</v>
      </c>
      <c r="P28" s="16" t="e">
        <f t="shared" si="1"/>
        <v>#DIV/0!</v>
      </c>
    </row>
    <row r="29" spans="1:16">
      <c r="A29" s="12">
        <v>-12</v>
      </c>
      <c r="B29" s="12">
        <v>-0.88470000000000004</v>
      </c>
      <c r="C29" s="12">
        <v>3.7560000000000003E-2</v>
      </c>
      <c r="D29" s="12">
        <v>3.1719999999999998E-2</v>
      </c>
      <c r="E29" s="12">
        <v>-8.8499999999999995E-2</v>
      </c>
      <c r="F29" s="12">
        <v>0.98209999999999997</v>
      </c>
      <c r="G29" s="12">
        <v>6.0100000000000001E-2</v>
      </c>
      <c r="H29" s="12"/>
      <c r="I29" s="16">
        <f>'Info. (Bar)'!$H$6*('Aero. Chract. (Bar)'!A29-'Info. (Bar)'!$G$6)</f>
        <v>-0.79568840262582041</v>
      </c>
      <c r="J29" s="16">
        <f>'Info. (Bar)'!$J$6*('Aero. Chract. (Bar)'!A29-'Info. (Bar)'!$G$6)</f>
        <v>-0.6427044154799576</v>
      </c>
      <c r="M29" s="16">
        <f t="shared" si="0"/>
        <v>-23.554313099041533</v>
      </c>
      <c r="N29" s="16" t="e">
        <f t="shared" si="2"/>
        <v>#DIV/0!</v>
      </c>
      <c r="O29" s="16">
        <f t="shared" si="1"/>
        <v>-4.2455069515089865E-2</v>
      </c>
      <c r="P29" s="16" t="e">
        <f t="shared" si="1"/>
        <v>#DIV/0!</v>
      </c>
    </row>
    <row r="30" spans="1:16">
      <c r="A30" s="12">
        <v>-14</v>
      </c>
      <c r="B30" s="12">
        <v>-0.81420000000000003</v>
      </c>
      <c r="C30" s="12">
        <v>5.4539999999999998E-2</v>
      </c>
      <c r="D30" s="12">
        <v>4.9750000000000003E-2</v>
      </c>
      <c r="E30" s="12">
        <v>-9.8699999999999996E-2</v>
      </c>
      <c r="F30" s="12">
        <v>1</v>
      </c>
      <c r="G30" s="12">
        <v>5.6000000000000001E-2</v>
      </c>
      <c r="H30" s="12"/>
      <c r="M30" s="16">
        <f t="shared" si="0"/>
        <v>-14.928492849284929</v>
      </c>
      <c r="O30" s="16">
        <f t="shared" si="1"/>
        <v>-6.6985998526160648E-2</v>
      </c>
    </row>
    <row r="31" spans="1:16">
      <c r="A31" s="12">
        <v>-16</v>
      </c>
      <c r="B31" s="12">
        <v>-0.22539999999999999</v>
      </c>
      <c r="C31" s="12">
        <v>0.16083</v>
      </c>
      <c r="D31" s="12">
        <v>0.15756000000000001</v>
      </c>
      <c r="E31" s="12">
        <v>-4.1399999999999999E-2</v>
      </c>
      <c r="F31" s="12">
        <v>1</v>
      </c>
      <c r="G31" s="12">
        <v>6.3299999999999995E-2</v>
      </c>
      <c r="H31" s="12"/>
      <c r="M31" s="16">
        <f t="shared" si="0"/>
        <v>-1.4014798234160293</v>
      </c>
      <c r="O31" s="16">
        <f t="shared" si="1"/>
        <v>-0.71353149955634432</v>
      </c>
    </row>
    <row r="32" spans="1:16">
      <c r="A32" s="12">
        <v>-18</v>
      </c>
      <c r="B32" s="12">
        <v>-0.22040000000000001</v>
      </c>
      <c r="C32" s="12">
        <v>0.17191000000000001</v>
      </c>
      <c r="D32" s="12">
        <v>0.16853000000000001</v>
      </c>
      <c r="E32" s="12">
        <v>-4.2200000000000001E-2</v>
      </c>
      <c r="F32" s="12">
        <v>1</v>
      </c>
      <c r="G32" s="12">
        <v>5.5199999999999999E-2</v>
      </c>
      <c r="H32" s="12"/>
      <c r="M32" s="16">
        <f t="shared" si="0"/>
        <v>-1.2820661974288872</v>
      </c>
      <c r="O32" s="16">
        <f t="shared" si="1"/>
        <v>-0.77999092558983674</v>
      </c>
    </row>
    <row r="33" spans="1:8">
      <c r="A33" s="12"/>
      <c r="B33" s="12"/>
      <c r="C33" s="12"/>
      <c r="D33" s="12"/>
      <c r="E33" s="12"/>
      <c r="F33" s="12"/>
      <c r="G33" s="12"/>
      <c r="H3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0"/>
  <sheetViews>
    <sheetView workbookViewId="0">
      <selection activeCell="G10" sqref="G10"/>
    </sheetView>
  </sheetViews>
  <sheetFormatPr defaultRowHeight="15"/>
  <cols>
    <col min="1" max="1" width="16.85546875" style="18" bestFit="1" customWidth="1"/>
    <col min="2" max="2" width="11" style="18" bestFit="1" customWidth="1"/>
    <col min="3" max="3" width="11" style="18" customWidth="1"/>
    <col min="4" max="4" width="21.85546875" style="18" bestFit="1" customWidth="1"/>
    <col min="5" max="5" width="10" style="18" customWidth="1"/>
    <col min="6" max="6" width="12" style="18" bestFit="1" customWidth="1"/>
    <col min="7" max="7" width="12.140625" style="18" bestFit="1" customWidth="1"/>
    <col min="8" max="9" width="11.42578125" style="18" customWidth="1"/>
    <col min="10" max="10" width="11.85546875" style="18" bestFit="1" customWidth="1"/>
    <col min="11" max="11" width="11.140625" style="18" bestFit="1" customWidth="1"/>
    <col min="12" max="12" width="24.28515625" style="18" bestFit="1" customWidth="1"/>
    <col min="13" max="13" width="11.85546875" style="18" bestFit="1" customWidth="1"/>
    <col min="14" max="14" width="11.140625" style="18" bestFit="1" customWidth="1"/>
    <col min="15" max="16" width="17.42578125" style="18" bestFit="1" customWidth="1"/>
    <col min="17" max="16384" width="9.140625" style="18"/>
  </cols>
  <sheetData>
    <row r="1" spans="1:20" ht="17.25">
      <c r="A1" s="17" t="s">
        <v>44</v>
      </c>
      <c r="B1" s="17" t="s">
        <v>78</v>
      </c>
      <c r="C1" s="16"/>
      <c r="D1" s="17" t="s">
        <v>49</v>
      </c>
      <c r="E1" s="17">
        <v>8</v>
      </c>
      <c r="F1" s="16"/>
      <c r="G1" s="17"/>
      <c r="H1" s="17" t="s">
        <v>53</v>
      </c>
      <c r="I1" s="17" t="s">
        <v>54</v>
      </c>
      <c r="K1" s="15" t="s">
        <v>36</v>
      </c>
      <c r="L1" s="15" t="s">
        <v>69</v>
      </c>
      <c r="M1" s="15" t="s">
        <v>70</v>
      </c>
    </row>
    <row r="2" spans="1:20" ht="18">
      <c r="A2" s="17" t="s">
        <v>37</v>
      </c>
      <c r="B2" s="17">
        <v>250000</v>
      </c>
      <c r="C2" s="16"/>
      <c r="D2" s="17" t="s">
        <v>74</v>
      </c>
      <c r="E2" s="17">
        <v>80</v>
      </c>
      <c r="F2" s="16"/>
      <c r="G2" s="17" t="s">
        <v>50</v>
      </c>
      <c r="H2" s="17">
        <v>84.35</v>
      </c>
      <c r="I2" s="17">
        <f>H2/144</f>
        <v>0.58576388888888886</v>
      </c>
      <c r="J2" s="16"/>
      <c r="K2" s="17">
        <f>C7/B7</f>
        <v>0.25</v>
      </c>
      <c r="L2" s="17">
        <f>(2/3)*B7*(1+K2+K2^2)/(1+K2)</f>
        <v>16.8</v>
      </c>
      <c r="M2" s="17">
        <f>(12*E3/6)*((1+2*K2)/(1+K2))</f>
        <v>1.999992</v>
      </c>
      <c r="N2" s="16"/>
      <c r="O2" s="16"/>
    </row>
    <row r="3" spans="1:20">
      <c r="A3" s="17" t="s">
        <v>33</v>
      </c>
      <c r="B3" s="17">
        <v>0.18</v>
      </c>
      <c r="C3" s="16"/>
      <c r="D3" s="17" t="s">
        <v>51</v>
      </c>
      <c r="E3" s="17">
        <v>0.83333000000000002</v>
      </c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20" ht="18.75">
      <c r="A4" s="11" t="s">
        <v>52</v>
      </c>
      <c r="B4" s="17">
        <f>'Standard Atm.'!A8</f>
        <v>2.2878199999999999E-3</v>
      </c>
      <c r="C4" s="16"/>
      <c r="D4" s="16"/>
      <c r="E4" s="16"/>
      <c r="F4" s="16"/>
      <c r="G4" s="15" t="s">
        <v>79</v>
      </c>
      <c r="H4" s="19" t="s">
        <v>39</v>
      </c>
      <c r="I4" s="19"/>
      <c r="J4" s="19" t="s">
        <v>38</v>
      </c>
      <c r="K4" s="19"/>
      <c r="M4" s="16"/>
      <c r="N4" s="16"/>
      <c r="O4" s="16"/>
    </row>
    <row r="5" spans="1:20">
      <c r="A5" s="16"/>
      <c r="B5" s="16"/>
      <c r="C5" s="16"/>
      <c r="D5" s="16"/>
      <c r="E5" s="16"/>
      <c r="F5" s="16"/>
      <c r="G5" s="15" t="s">
        <v>71</v>
      </c>
      <c r="H5" s="15" t="s">
        <v>72</v>
      </c>
      <c r="I5" s="15" t="s">
        <v>73</v>
      </c>
      <c r="J5" s="15" t="s">
        <v>72</v>
      </c>
      <c r="K5" s="15" t="s">
        <v>73</v>
      </c>
      <c r="M5" s="16"/>
      <c r="N5" s="16"/>
      <c r="O5" s="16"/>
    </row>
    <row r="6" spans="1:20">
      <c r="A6" s="17"/>
      <c r="B6" s="17" t="s">
        <v>45</v>
      </c>
      <c r="C6" s="17" t="s">
        <v>46</v>
      </c>
      <c r="D6" s="16"/>
      <c r="E6" s="16"/>
      <c r="F6" s="16"/>
      <c r="G6" s="15">
        <f>('Aero. Chract. (Trap.)'!A25)-(('Aero. Chract. (Trap.)'!B25)/(('Aero. Chract. (Trap.)'!B25-'Aero. Chract. (Trap.)'!B26)/('Aero. Chract. (Trap.)'!A25-'Aero. Chract. (Trap.)'!A26)))</f>
        <v>-4.3133553563001419</v>
      </c>
      <c r="H6" s="15">
        <f>('Aero. Chract. (Trap.)'!B23-0)/(0-'Info. (Trap.)'!G6)</f>
        <v>0.10351570021881837</v>
      </c>
      <c r="I6" s="15">
        <f>H6*180/PI()</f>
        <v>5.9310127358797455</v>
      </c>
      <c r="J6" s="15">
        <f>K6*PI()/180</f>
        <v>2.5575577638151024E-2</v>
      </c>
      <c r="K6" s="15">
        <f>I6*COS(C11)/(SQRT(1+(I6*COS(C11)/(PI()*F9))^2)+(I6*COS(C11)/(PI()*F9)))</f>
        <v>1.4653726572752197</v>
      </c>
      <c r="Q6" s="16"/>
      <c r="R6" s="16"/>
      <c r="S6" s="16"/>
      <c r="T6" s="16"/>
    </row>
    <row r="7" spans="1:20">
      <c r="A7" s="17" t="s">
        <v>47</v>
      </c>
      <c r="B7" s="17">
        <v>24</v>
      </c>
      <c r="C7" s="17">
        <v>6</v>
      </c>
      <c r="D7" s="16"/>
      <c r="L7" s="16"/>
      <c r="M7" s="16"/>
      <c r="N7" s="16"/>
      <c r="O7" s="16"/>
      <c r="P7" s="16"/>
    </row>
    <row r="8" spans="1:20" ht="18">
      <c r="A8" s="17" t="s">
        <v>48</v>
      </c>
      <c r="B8" s="17">
        <f>B7*B3</f>
        <v>4.32</v>
      </c>
      <c r="C8" s="17">
        <f>C7*B3</f>
        <v>1.08</v>
      </c>
      <c r="D8" s="16"/>
      <c r="E8" s="17"/>
      <c r="F8" s="17" t="s">
        <v>35</v>
      </c>
      <c r="G8" s="17" t="s">
        <v>34</v>
      </c>
      <c r="H8" s="17" t="s">
        <v>65</v>
      </c>
      <c r="I8" s="17" t="s">
        <v>66</v>
      </c>
      <c r="J8" s="17" t="s">
        <v>67</v>
      </c>
      <c r="K8" s="17" t="s">
        <v>68</v>
      </c>
      <c r="L8" s="17" t="s">
        <v>75</v>
      </c>
      <c r="M8" s="16"/>
      <c r="N8" s="16"/>
      <c r="O8" s="16"/>
    </row>
    <row r="9" spans="1:20">
      <c r="A9" s="16"/>
      <c r="B9" s="16"/>
      <c r="C9" s="16"/>
      <c r="D9" s="16"/>
      <c r="E9" s="17" t="s">
        <v>63</v>
      </c>
      <c r="F9" s="20">
        <f>E3^2/I2</f>
        <v>1.1855269709733256</v>
      </c>
      <c r="G9" s="17">
        <f>(-((('Aero. Chract. (Trap.)'!$E$15-'Aero. Chract. (Trap.)'!$E$23)/(16-0))/((MAX('Aero. Chract. (Trap.)'!B13:B32)-'Aero. Chract. (Trap.)'!$B$23)/(16-0)))+0.25)*100</f>
        <v>18.9450050921211</v>
      </c>
      <c r="H9" s="17">
        <f>SQRT((2*$E$1)/($B$4*$I$2*MAX('Aero. Chract. (Trap.)'!B13:B32)))</f>
        <v>88.435195200848284</v>
      </c>
      <c r="I9" s="17">
        <f>SQRT((2*$E$1)/($B$4*$I$2*'Aero. Chract. (Trap.)'!$B$23))</f>
        <v>163.52231851310427</v>
      </c>
      <c r="J9" s="17">
        <f>0.5*MAX('Aero. Chract. (Trap.)'!B13:B32)*$I$2*$B$4*$H$9^2</f>
        <v>8</v>
      </c>
      <c r="K9" s="17">
        <f>0.5*'Aero. Chract. (Trap.)'!$B$23*$I$2*$B$4*$I$9^2</f>
        <v>8</v>
      </c>
      <c r="L9" s="17">
        <f>0.5*'Aero. Chract. (Trap.)'!$B$23*$I$2*$B$4*$E$2^2</f>
        <v>1.9147667997888886</v>
      </c>
      <c r="N9" s="10"/>
      <c r="O9" s="10"/>
    </row>
    <row r="10" spans="1:20">
      <c r="A10" s="15"/>
      <c r="B10" s="17" t="s">
        <v>71</v>
      </c>
      <c r="C10" s="17" t="s">
        <v>81</v>
      </c>
      <c r="D10" s="16"/>
      <c r="E10" s="17" t="s">
        <v>64</v>
      </c>
      <c r="F10" s="21"/>
      <c r="G10" s="17"/>
      <c r="H10" s="17">
        <f>SQRT((2*$E$1)/($B$4*$I$2*MAX('Aero. Chract. (Trap.)'!J14:J33)))</f>
        <v>151.59476675189239</v>
      </c>
      <c r="I10" s="17">
        <f>SQRT((2*$E$1)/($B$4*$I$2*'Aero. Chract. (Trap.)'!$J$23))</f>
        <v>328.97842922235827</v>
      </c>
      <c r="J10" s="17">
        <f>0.5*MAX('Aero. Chract. (Trap.)'!J15:J29)*$I$2*$B$4*$H$10^2</f>
        <v>8</v>
      </c>
      <c r="K10" s="17">
        <f>0.5*'Aero. Chract. (Trap.)'!$J$23*$I$2*$B$4*$I$10^2</f>
        <v>8.0000000000000018</v>
      </c>
      <c r="L10" s="17">
        <f>0.5*'Aero. Chract. (Trap.)'!$J$23*$I$2*$B$4*$E$2^2</f>
        <v>0.47308057467066328</v>
      </c>
      <c r="O10" s="16"/>
    </row>
    <row r="11" spans="1:20">
      <c r="A11" s="17" t="s">
        <v>80</v>
      </c>
      <c r="B11" s="17">
        <v>-57.642000000000003</v>
      </c>
      <c r="C11" s="17">
        <f>B11*PI()/180</f>
        <v>-1.0060426874345714</v>
      </c>
      <c r="D11" s="16"/>
      <c r="F11" s="16"/>
      <c r="G11" s="16"/>
      <c r="H11" s="9"/>
      <c r="I11" s="9"/>
      <c r="J11" s="16"/>
      <c r="K11" s="9"/>
      <c r="L11" s="16"/>
      <c r="M11" s="16"/>
      <c r="N11" s="16"/>
      <c r="O11" s="16"/>
    </row>
    <row r="12" spans="1:20">
      <c r="A12" s="16"/>
      <c r="B12" s="16"/>
      <c r="C12" s="16"/>
      <c r="D12" s="16"/>
      <c r="E12" s="16"/>
      <c r="F12" s="16"/>
      <c r="G12" s="16"/>
      <c r="I12" s="16"/>
      <c r="J12" s="16"/>
      <c r="L12" s="16"/>
      <c r="M12" s="16"/>
      <c r="N12" s="16"/>
      <c r="O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20" ht="15" customHeight="1">
      <c r="A14" s="16"/>
      <c r="B14" s="16"/>
      <c r="C14" s="16"/>
      <c r="E14" s="9"/>
      <c r="F14" s="9"/>
      <c r="G14" s="16"/>
      <c r="H14" s="16"/>
      <c r="I14" s="16"/>
      <c r="J14" s="16"/>
      <c r="K14" s="16"/>
    </row>
    <row r="15" spans="1:20" ht="15" customHeight="1">
      <c r="A15" s="16"/>
      <c r="B15" s="16"/>
      <c r="C15" s="16"/>
    </row>
    <row r="16" spans="1:20" ht="15" customHeight="1"/>
    <row r="17" spans="2:2" ht="15" customHeight="1"/>
    <row r="18" spans="2:2">
      <c r="B18" s="16"/>
    </row>
    <row r="19" spans="2:2">
      <c r="B19" s="16"/>
    </row>
    <row r="20" spans="2:2" ht="15" customHeight="1"/>
  </sheetData>
  <mergeCells count="3">
    <mergeCell ref="H4:I4"/>
    <mergeCell ref="J4:K4"/>
    <mergeCell ref="F9:F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3"/>
  <sheetViews>
    <sheetView workbookViewId="0">
      <selection activeCell="I15" sqref="I15:I29"/>
    </sheetView>
  </sheetViews>
  <sheetFormatPr defaultRowHeight="15"/>
  <cols>
    <col min="1" max="1" width="10.28515625" style="16" bestFit="1" customWidth="1"/>
    <col min="2" max="2" width="7.85546875" style="16" bestFit="1" customWidth="1"/>
    <col min="3" max="3" width="9.140625" style="16" bestFit="1" customWidth="1"/>
    <col min="4" max="4" width="8" style="16" bestFit="1" customWidth="1"/>
    <col min="5" max="5" width="9.140625" style="16"/>
    <col min="6" max="6" width="9" style="16" bestFit="1" customWidth="1"/>
    <col min="7" max="7" width="8" style="16" bestFit="1" customWidth="1"/>
    <col min="8" max="8" width="5.5703125" style="16" bestFit="1" customWidth="1"/>
    <col min="9" max="9" width="13.7109375" style="16" customWidth="1"/>
    <col min="10" max="16384" width="9.140625" style="16"/>
  </cols>
  <sheetData>
    <row r="1" spans="1:16">
      <c r="A1" s="12"/>
      <c r="B1" s="12"/>
      <c r="C1" s="12"/>
      <c r="D1" s="12"/>
      <c r="E1" s="12"/>
      <c r="F1" s="12"/>
      <c r="G1" s="12"/>
      <c r="H1" s="12"/>
    </row>
    <row r="2" spans="1:16">
      <c r="A2" s="12" t="s">
        <v>10</v>
      </c>
      <c r="B2" s="12" t="s">
        <v>11</v>
      </c>
      <c r="C2" s="12">
        <v>6.96</v>
      </c>
      <c r="D2" s="12"/>
      <c r="E2" s="12"/>
      <c r="F2" s="12"/>
      <c r="G2" s="12"/>
      <c r="H2" s="12"/>
    </row>
    <row r="3" spans="1:16">
      <c r="A3" s="12"/>
      <c r="B3" s="12"/>
      <c r="C3" s="12"/>
      <c r="D3" s="12"/>
      <c r="E3" s="12"/>
      <c r="F3" s="12"/>
      <c r="G3" s="12"/>
      <c r="H3" s="12"/>
    </row>
    <row r="4" spans="1:16">
      <c r="A4" s="12" t="s">
        <v>12</v>
      </c>
      <c r="B4" s="12" t="s">
        <v>13</v>
      </c>
      <c r="C4" s="12" t="s">
        <v>14</v>
      </c>
      <c r="D4" s="12" t="s">
        <v>55</v>
      </c>
      <c r="E4" s="12">
        <v>382</v>
      </c>
      <c r="F4" s="12"/>
      <c r="G4" s="12"/>
      <c r="H4" s="12"/>
    </row>
    <row r="5" spans="1:16">
      <c r="A5" s="12"/>
      <c r="B5" s="12"/>
      <c r="C5" s="12"/>
      <c r="D5" s="12"/>
      <c r="E5" s="12"/>
      <c r="F5" s="12"/>
      <c r="G5" s="12"/>
      <c r="H5" s="12"/>
    </row>
    <row r="6" spans="1:16">
      <c r="A6" s="12">
        <v>1</v>
      </c>
      <c r="B6" s="12">
        <v>1</v>
      </c>
      <c r="C6" s="12" t="s">
        <v>15</v>
      </c>
      <c r="D6" s="12" t="s">
        <v>16</v>
      </c>
      <c r="E6" s="12" t="s">
        <v>17</v>
      </c>
      <c r="F6" s="12" t="s">
        <v>18</v>
      </c>
      <c r="G6" s="12" t="s">
        <v>16</v>
      </c>
      <c r="H6" s="12" t="s">
        <v>17</v>
      </c>
    </row>
    <row r="7" spans="1:16">
      <c r="A7" s="12"/>
      <c r="B7" s="12"/>
      <c r="C7" s="12"/>
      <c r="D7" s="12"/>
      <c r="E7" s="12"/>
      <c r="F7" s="12"/>
      <c r="G7" s="12"/>
      <c r="H7" s="12"/>
    </row>
    <row r="8" spans="1:16">
      <c r="A8" s="12" t="s">
        <v>19</v>
      </c>
      <c r="B8" s="12" t="s">
        <v>20</v>
      </c>
      <c r="C8" s="12">
        <v>1</v>
      </c>
      <c r="D8" s="12" t="s">
        <v>21</v>
      </c>
      <c r="E8" s="12">
        <v>1</v>
      </c>
      <c r="F8" s="12" t="s">
        <v>22</v>
      </c>
      <c r="G8" s="12"/>
      <c r="H8" s="12"/>
    </row>
    <row r="9" spans="1:16">
      <c r="A9" s="12" t="s">
        <v>18</v>
      </c>
      <c r="B9" s="12" t="s">
        <v>20</v>
      </c>
      <c r="C9" s="12">
        <v>0.05</v>
      </c>
      <c r="D9" s="12" t="s">
        <v>1</v>
      </c>
      <c r="E9" s="12" t="s">
        <v>20</v>
      </c>
      <c r="F9" s="12">
        <v>0.3</v>
      </c>
      <c r="G9" s="12" t="s">
        <v>23</v>
      </c>
      <c r="H9" s="12">
        <v>6</v>
      </c>
    </row>
    <row r="10" spans="1:16">
      <c r="A10" s="12"/>
      <c r="B10" s="12"/>
      <c r="C10" s="12"/>
      <c r="D10" s="12"/>
      <c r="E10" s="12"/>
      <c r="F10" s="12"/>
      <c r="G10" s="12"/>
      <c r="H10" s="12"/>
      <c r="O10" s="16" t="s">
        <v>62</v>
      </c>
      <c r="P10" s="16" t="s">
        <v>61</v>
      </c>
    </row>
    <row r="11" spans="1:16">
      <c r="A11" s="12" t="s">
        <v>24</v>
      </c>
      <c r="B11" s="12" t="s">
        <v>40</v>
      </c>
      <c r="C11" s="12" t="s">
        <v>41</v>
      </c>
      <c r="D11" s="12" t="s">
        <v>42</v>
      </c>
      <c r="E11" s="12" t="s">
        <v>43</v>
      </c>
      <c r="F11" s="12" t="s">
        <v>26</v>
      </c>
      <c r="G11" s="12" t="s">
        <v>27</v>
      </c>
      <c r="H11" s="12"/>
      <c r="I11" s="16" t="s">
        <v>56</v>
      </c>
      <c r="J11" s="12" t="s">
        <v>25</v>
      </c>
      <c r="K11" s="12" t="s">
        <v>57</v>
      </c>
      <c r="L11" s="12" t="s">
        <v>58</v>
      </c>
      <c r="M11" s="12" t="s">
        <v>59</v>
      </c>
      <c r="N11" s="12" t="s">
        <v>28</v>
      </c>
      <c r="O11" s="12" t="s">
        <v>60</v>
      </c>
      <c r="P11" s="12" t="s">
        <v>29</v>
      </c>
    </row>
    <row r="12" spans="1:16">
      <c r="A12" s="12" t="s">
        <v>30</v>
      </c>
      <c r="B12" s="12" t="s">
        <v>31</v>
      </c>
      <c r="C12" s="12" t="s">
        <v>32</v>
      </c>
      <c r="D12" s="12" t="s">
        <v>32</v>
      </c>
      <c r="E12" s="12" t="s">
        <v>31</v>
      </c>
      <c r="F12" s="12" t="s">
        <v>31</v>
      </c>
      <c r="G12" s="12" t="s">
        <v>31</v>
      </c>
      <c r="H12" s="12"/>
      <c r="I12" s="12" t="s">
        <v>31</v>
      </c>
      <c r="J12" s="12" t="s">
        <v>31</v>
      </c>
      <c r="K12" s="12" t="s">
        <v>31</v>
      </c>
      <c r="L12" s="12" t="s">
        <v>31</v>
      </c>
      <c r="M12" s="12" t="s">
        <v>31</v>
      </c>
      <c r="N12" s="12" t="s">
        <v>31</v>
      </c>
      <c r="O12" s="12" t="s">
        <v>31</v>
      </c>
      <c r="P12" s="12" t="s">
        <v>31</v>
      </c>
    </row>
    <row r="13" spans="1:16">
      <c r="A13" s="12">
        <v>20</v>
      </c>
      <c r="B13" s="12">
        <v>1.4504999999999999</v>
      </c>
      <c r="C13" s="12">
        <v>0.11448999999999999</v>
      </c>
      <c r="D13" s="12">
        <v>0.10857</v>
      </c>
      <c r="E13" s="12">
        <v>-3.5799999999999998E-2</v>
      </c>
      <c r="F13" s="12">
        <v>9.2100000000000001E-2</v>
      </c>
      <c r="G13" s="12">
        <v>1</v>
      </c>
      <c r="H13" s="12"/>
      <c r="M13" s="16">
        <f>B13/C13</f>
        <v>12.669228753602935</v>
      </c>
      <c r="O13" s="16">
        <f>1/M13</f>
        <v>7.8931402964494995E-2</v>
      </c>
    </row>
    <row r="14" spans="1:16">
      <c r="A14" s="12">
        <v>18</v>
      </c>
      <c r="B14" s="12">
        <v>1.4718</v>
      </c>
      <c r="C14" s="12">
        <v>8.7069999999999995E-2</v>
      </c>
      <c r="D14" s="12">
        <v>8.0890000000000004E-2</v>
      </c>
      <c r="E14" s="12">
        <v>-3.09E-2</v>
      </c>
      <c r="F14" s="12">
        <v>0.12280000000000001</v>
      </c>
      <c r="G14" s="12">
        <v>1</v>
      </c>
      <c r="H14" s="12"/>
      <c r="M14" s="16">
        <f t="shared" ref="M14:M32" si="0">B14/C14</f>
        <v>16.903640748822788</v>
      </c>
      <c r="O14" s="16">
        <f t="shared" ref="O14:P32" si="1">1/M14</f>
        <v>5.9158853105041438E-2</v>
      </c>
    </row>
    <row r="15" spans="1:16">
      <c r="A15" s="12">
        <v>16</v>
      </c>
      <c r="B15" s="12">
        <v>1.5117</v>
      </c>
      <c r="C15" s="12">
        <v>5.91E-2</v>
      </c>
      <c r="D15" s="12">
        <v>5.2720000000000003E-2</v>
      </c>
      <c r="E15" s="12">
        <v>-3.0800000000000001E-2</v>
      </c>
      <c r="F15" s="12">
        <v>0.17</v>
      </c>
      <c r="G15" s="12">
        <v>1</v>
      </c>
      <c r="H15" s="12"/>
      <c r="I15" s="16">
        <f>'Info. (Trap.)'!$H$6*('Aero. Chract. (Trap.)'!A15-'Info. (Trap.)'!$G$6)</f>
        <v>2.1027512035010938</v>
      </c>
      <c r="J15" s="16">
        <f>'Info. (Trap.)'!$J$6*('Aero. Chract. (Trap.)'!A15-'Info. (Trap.)'!$G$6)</f>
        <v>0.51952579700640522</v>
      </c>
      <c r="K15" s="12"/>
      <c r="M15" s="16">
        <f t="shared" si="0"/>
        <v>25.578680203045685</v>
      </c>
      <c r="N15" s="16" t="e">
        <f>J15/K15</f>
        <v>#DIV/0!</v>
      </c>
      <c r="O15" s="16">
        <f t="shared" si="1"/>
        <v>3.9095058543361781E-2</v>
      </c>
      <c r="P15" s="16" t="e">
        <f>1/N15</f>
        <v>#DIV/0!</v>
      </c>
    </row>
    <row r="16" spans="1:16">
      <c r="A16" s="12">
        <v>14</v>
      </c>
      <c r="B16" s="12">
        <v>1.5266</v>
      </c>
      <c r="C16" s="12">
        <v>3.7740000000000003E-2</v>
      </c>
      <c r="D16" s="12">
        <v>3.1140000000000001E-2</v>
      </c>
      <c r="E16" s="12">
        <v>-3.7900000000000003E-2</v>
      </c>
      <c r="F16" s="12">
        <v>0.23499999999999999</v>
      </c>
      <c r="G16" s="12">
        <v>1</v>
      </c>
      <c r="H16" s="12"/>
      <c r="I16" s="16">
        <f>'Info. (Trap.)'!$H$6*('Aero. Chract. (Trap.)'!A16-'Info. (Trap.)'!$G$6)</f>
        <v>1.8957198030634572</v>
      </c>
      <c r="J16" s="16">
        <f>'Info. (Trap.)'!$J$6*('Aero. Chract. (Trap.)'!A16-'Info. (Trap.)'!$G$6)</f>
        <v>0.46837464173010318</v>
      </c>
      <c r="K16" s="12"/>
      <c r="M16" s="16">
        <f t="shared" si="0"/>
        <v>40.450450450450447</v>
      </c>
      <c r="N16" s="16" t="e">
        <f t="shared" ref="N16:N29" si="2">J16/K16</f>
        <v>#DIV/0!</v>
      </c>
      <c r="O16" s="16">
        <f t="shared" si="1"/>
        <v>2.472160356347439E-2</v>
      </c>
      <c r="P16" s="16" t="e">
        <f t="shared" si="1"/>
        <v>#DIV/0!</v>
      </c>
    </row>
    <row r="17" spans="1:16">
      <c r="A17" s="12">
        <v>12</v>
      </c>
      <c r="B17" s="12">
        <v>1.49</v>
      </c>
      <c r="C17" s="12">
        <v>2.5770000000000001E-2</v>
      </c>
      <c r="D17" s="12">
        <v>1.9060000000000001E-2</v>
      </c>
      <c r="E17" s="12">
        <v>-5.1999999999999998E-2</v>
      </c>
      <c r="F17" s="12">
        <v>0.30509999999999998</v>
      </c>
      <c r="G17" s="12">
        <v>1</v>
      </c>
      <c r="H17" s="12"/>
      <c r="I17" s="16">
        <f>'Info. (Trap.)'!$H$6*('Aero. Chract. (Trap.)'!A17-'Info. (Trap.)'!$G$6)</f>
        <v>1.6886884026258204</v>
      </c>
      <c r="J17" s="16">
        <f>'Info. (Trap.)'!$J$6*('Aero. Chract. (Trap.)'!A17-'Info. (Trap.)'!$G$6)</f>
        <v>0.41722348645380114</v>
      </c>
      <c r="K17" s="12"/>
      <c r="M17" s="16">
        <f t="shared" si="0"/>
        <v>57.819169577027552</v>
      </c>
      <c r="N17" s="16" t="e">
        <f t="shared" si="2"/>
        <v>#DIV/0!</v>
      </c>
      <c r="O17" s="16">
        <f t="shared" si="1"/>
        <v>1.729530201342282E-2</v>
      </c>
      <c r="P17" s="16" t="e">
        <f t="shared" si="1"/>
        <v>#DIV/0!</v>
      </c>
    </row>
    <row r="18" spans="1:16">
      <c r="A18" s="12">
        <v>10</v>
      </c>
      <c r="B18" s="12">
        <v>1.4023000000000001</v>
      </c>
      <c r="C18" s="12">
        <v>2.0129999999999999E-2</v>
      </c>
      <c r="D18" s="12">
        <v>1.323E-2</v>
      </c>
      <c r="E18" s="12">
        <v>-6.8599999999999994E-2</v>
      </c>
      <c r="F18" s="12">
        <v>0.36990000000000001</v>
      </c>
      <c r="G18" s="12">
        <v>1</v>
      </c>
      <c r="H18" s="12"/>
      <c r="I18" s="16">
        <f>'Info. (Trap.)'!$H$6*('Aero. Chract. (Trap.)'!A18-'Info. (Trap.)'!$G$6)</f>
        <v>1.4816570021881839</v>
      </c>
      <c r="J18" s="16">
        <f>'Info. (Trap.)'!$J$6*('Aero. Chract. (Trap.)'!A18-'Info. (Trap.)'!$G$6)</f>
        <v>0.3660723311774991</v>
      </c>
      <c r="K18" s="12"/>
      <c r="M18" s="16">
        <f t="shared" si="0"/>
        <v>69.662195727769515</v>
      </c>
      <c r="N18" s="16" t="e">
        <f t="shared" si="2"/>
        <v>#DIV/0!</v>
      </c>
      <c r="O18" s="16">
        <f t="shared" si="1"/>
        <v>1.4354988233616198E-2</v>
      </c>
      <c r="P18" s="16" t="e">
        <f t="shared" si="1"/>
        <v>#DIV/0!</v>
      </c>
    </row>
    <row r="19" spans="1:16">
      <c r="A19" s="12">
        <v>8</v>
      </c>
      <c r="B19" s="12">
        <v>1.2779</v>
      </c>
      <c r="C19" s="12">
        <v>1.7479999999999999E-2</v>
      </c>
      <c r="D19" s="12">
        <v>1.0460000000000001E-2</v>
      </c>
      <c r="E19" s="12">
        <v>-8.4699999999999998E-2</v>
      </c>
      <c r="F19" s="12">
        <v>0.42509999999999998</v>
      </c>
      <c r="G19" s="12">
        <v>1</v>
      </c>
      <c r="H19" s="12"/>
      <c r="I19" s="16">
        <f>'Info. (Trap.)'!$H$6*('Aero. Chract. (Trap.)'!A19-'Info. (Trap.)'!$G$6)</f>
        <v>1.2746256017505471</v>
      </c>
      <c r="J19" s="16">
        <f>'Info. (Trap.)'!$J$6*('Aero. Chract. (Trap.)'!A19-'Info. (Trap.)'!$G$6)</f>
        <v>0.31492117590119706</v>
      </c>
      <c r="K19" s="12"/>
      <c r="M19" s="16">
        <f t="shared" si="0"/>
        <v>73.106407322654462</v>
      </c>
      <c r="N19" s="16" t="e">
        <f t="shared" si="2"/>
        <v>#DIV/0!</v>
      </c>
      <c r="O19" s="16">
        <f t="shared" si="1"/>
        <v>1.3678691603411848E-2</v>
      </c>
      <c r="P19" s="16" t="e">
        <f t="shared" si="1"/>
        <v>#DIV/0!</v>
      </c>
    </row>
    <row r="20" spans="1:16">
      <c r="A20" s="12">
        <v>6</v>
      </c>
      <c r="B20" s="12">
        <v>1.1107</v>
      </c>
      <c r="C20" s="12">
        <v>1.5559999999999999E-2</v>
      </c>
      <c r="D20" s="12">
        <v>8.4399999999999996E-3</v>
      </c>
      <c r="E20" s="12">
        <v>-9.4600000000000004E-2</v>
      </c>
      <c r="F20" s="12">
        <v>0.47460000000000002</v>
      </c>
      <c r="G20" s="12">
        <v>1</v>
      </c>
      <c r="H20" s="12"/>
      <c r="I20" s="16">
        <f>'Info. (Trap.)'!$H$6*('Aero. Chract. (Trap.)'!A20-'Info. (Trap.)'!$G$6)</f>
        <v>1.0675942013129103</v>
      </c>
      <c r="J20" s="16">
        <f>'Info. (Trap.)'!$J$6*('Aero. Chract. (Trap.)'!A20-'Info. (Trap.)'!$G$6)</f>
        <v>0.26377002062489502</v>
      </c>
      <c r="K20" s="12"/>
      <c r="M20" s="16">
        <f t="shared" si="0"/>
        <v>71.381748071979445</v>
      </c>
      <c r="N20" s="16" t="e">
        <f t="shared" si="2"/>
        <v>#DIV/0!</v>
      </c>
      <c r="O20" s="16">
        <f t="shared" si="1"/>
        <v>1.4009183397857205E-2</v>
      </c>
      <c r="P20" s="16" t="e">
        <f t="shared" si="1"/>
        <v>#DIV/0!</v>
      </c>
    </row>
    <row r="21" spans="1:16">
      <c r="A21" s="12">
        <v>4</v>
      </c>
      <c r="B21" s="12">
        <v>0.93089999999999995</v>
      </c>
      <c r="C21" s="12">
        <v>1.3809999999999999E-2</v>
      </c>
      <c r="D21" s="12">
        <v>6.9899999999999997E-3</v>
      </c>
      <c r="E21" s="12">
        <v>-0.1026</v>
      </c>
      <c r="F21" s="12">
        <v>0.52049999999999996</v>
      </c>
      <c r="G21" s="12">
        <v>1</v>
      </c>
      <c r="H21" s="12"/>
      <c r="I21" s="16">
        <f>'Info. (Trap.)'!$H$6*('Aero. Chract. (Trap.)'!A21-'Info. (Trap.)'!$G$6)</f>
        <v>0.86056280087527359</v>
      </c>
      <c r="J21" s="16">
        <f>'Info. (Trap.)'!$J$6*('Aero. Chract. (Trap.)'!A21-'Info. (Trap.)'!$G$6)</f>
        <v>0.21261886534859298</v>
      </c>
      <c r="K21" s="12"/>
      <c r="M21" s="16">
        <f t="shared" si="0"/>
        <v>67.407675597393194</v>
      </c>
      <c r="N21" s="16" t="e">
        <f t="shared" si="2"/>
        <v>#DIV/0!</v>
      </c>
      <c r="O21" s="16">
        <f t="shared" si="1"/>
        <v>1.4835105811580191E-2</v>
      </c>
      <c r="P21" s="16" t="e">
        <f t="shared" si="1"/>
        <v>#DIV/0!</v>
      </c>
    </row>
    <row r="22" spans="1:16">
      <c r="A22" s="12">
        <v>2</v>
      </c>
      <c r="B22" s="12">
        <v>0.70569999999999999</v>
      </c>
      <c r="C22" s="12">
        <v>1.2579999999999999E-2</v>
      </c>
      <c r="D22" s="12">
        <v>6.1399999999999996E-3</v>
      </c>
      <c r="E22" s="12">
        <v>-0.10050000000000001</v>
      </c>
      <c r="F22" s="12">
        <v>0.57210000000000005</v>
      </c>
      <c r="G22" s="12">
        <v>0.9798</v>
      </c>
      <c r="H22" s="12"/>
      <c r="I22" s="16">
        <f>'Info. (Trap.)'!$H$6*('Aero. Chract. (Trap.)'!A22-'Info. (Trap.)'!$G$6)</f>
        <v>0.65353140043763669</v>
      </c>
      <c r="J22" s="16">
        <f>'Info. (Trap.)'!$J$6*('Aero. Chract. (Trap.)'!A22-'Info. (Trap.)'!$G$6)</f>
        <v>0.16146771007229091</v>
      </c>
      <c r="K22" s="12"/>
      <c r="M22" s="16">
        <f t="shared" si="0"/>
        <v>56.096979332273456</v>
      </c>
      <c r="N22" s="16" t="e">
        <f t="shared" si="2"/>
        <v>#DIV/0!</v>
      </c>
      <c r="O22" s="16">
        <f t="shared" si="1"/>
        <v>1.7826271786878276E-2</v>
      </c>
      <c r="P22" s="16" t="e">
        <f t="shared" si="1"/>
        <v>#DIV/0!</v>
      </c>
    </row>
    <row r="23" spans="1:16">
      <c r="A23" s="12">
        <v>0</v>
      </c>
      <c r="B23" s="12">
        <v>0.44650000000000001</v>
      </c>
      <c r="C23" s="12">
        <v>1.159E-2</v>
      </c>
      <c r="D23" s="12">
        <v>5.1200000000000004E-3</v>
      </c>
      <c r="E23" s="12">
        <v>-9.6199999999999994E-2</v>
      </c>
      <c r="F23" s="12">
        <v>0.63539999999999996</v>
      </c>
      <c r="G23" s="12">
        <v>0.6915</v>
      </c>
      <c r="H23" s="12"/>
      <c r="I23" s="16">
        <f>'Info. (Trap.)'!$H$6*('Aero. Chract. (Trap.)'!A23-'Info. (Trap.)'!$G$6)</f>
        <v>0.44649999999999995</v>
      </c>
      <c r="J23" s="16">
        <f>'Info. (Trap.)'!$J$6*('Aero. Chract. (Trap.)'!A23-'Info. (Trap.)'!$G$6)</f>
        <v>0.11031655479598886</v>
      </c>
      <c r="K23" s="12"/>
      <c r="M23" s="16">
        <f t="shared" si="0"/>
        <v>38.524590163934427</v>
      </c>
      <c r="N23" s="16" t="e">
        <f t="shared" si="2"/>
        <v>#DIV/0!</v>
      </c>
      <c r="O23" s="16">
        <f t="shared" si="1"/>
        <v>2.5957446808510639E-2</v>
      </c>
      <c r="P23" s="16" t="e">
        <f t="shared" si="1"/>
        <v>#DIV/0!</v>
      </c>
    </row>
    <row r="24" spans="1:16">
      <c r="A24" s="12">
        <v>-2</v>
      </c>
      <c r="B24" s="12">
        <v>0.2472</v>
      </c>
      <c r="C24" s="12">
        <v>1.278E-2</v>
      </c>
      <c r="D24" s="12">
        <v>5.2599999999999999E-3</v>
      </c>
      <c r="E24" s="12">
        <v>-0.1019</v>
      </c>
      <c r="F24" s="12">
        <v>0.71419999999999995</v>
      </c>
      <c r="G24" s="12">
        <v>0.3175</v>
      </c>
      <c r="H24" s="12"/>
      <c r="I24" s="16">
        <f>'Info. (Trap.)'!$H$6*('Aero. Chract. (Trap.)'!A24-'Info. (Trap.)'!$G$6)</f>
        <v>0.23946859956236324</v>
      </c>
      <c r="J24" s="16">
        <f>'Info. (Trap.)'!$J$6*('Aero. Chract. (Trap.)'!A24-'Info. (Trap.)'!$G$6)</f>
        <v>5.9165399519686801E-2</v>
      </c>
      <c r="K24" s="12"/>
      <c r="M24" s="16">
        <f t="shared" si="0"/>
        <v>19.342723004694836</v>
      </c>
      <c r="N24" s="16" t="e">
        <f t="shared" si="2"/>
        <v>#DIV/0!</v>
      </c>
      <c r="O24" s="16">
        <f t="shared" si="1"/>
        <v>5.1699029126213589E-2</v>
      </c>
      <c r="P24" s="16" t="e">
        <f t="shared" si="1"/>
        <v>#DIV/0!</v>
      </c>
    </row>
    <row r="25" spans="1:16">
      <c r="A25" s="12">
        <v>-4</v>
      </c>
      <c r="B25" s="12">
        <v>3.32E-2</v>
      </c>
      <c r="C25" s="12">
        <v>1.417E-2</v>
      </c>
      <c r="D25" s="12">
        <v>6.6499999999999997E-3</v>
      </c>
      <c r="E25" s="12">
        <v>-0.10489999999999999</v>
      </c>
      <c r="F25" s="12">
        <v>0.79579999999999995</v>
      </c>
      <c r="G25" s="12">
        <v>0.1956</v>
      </c>
      <c r="H25" s="12"/>
      <c r="I25" s="16">
        <f>'Info. (Trap.)'!$H$6*('Aero. Chract. (Trap.)'!A25-'Info. (Trap.)'!$G$6)</f>
        <v>3.2437199124726507E-2</v>
      </c>
      <c r="J25" s="16">
        <f>'Info. (Trap.)'!$J$6*('Aero. Chract. (Trap.)'!A25-'Info. (Trap.)'!$G$6)</f>
        <v>8.0142442433847553E-3</v>
      </c>
      <c r="K25" s="12"/>
      <c r="M25" s="16">
        <f t="shared" si="0"/>
        <v>2.3429781227946367</v>
      </c>
      <c r="N25" s="16" t="e">
        <f t="shared" si="2"/>
        <v>#DIV/0!</v>
      </c>
      <c r="O25" s="16">
        <f t="shared" si="1"/>
        <v>0.42680722891566264</v>
      </c>
      <c r="P25" s="16" t="e">
        <f t="shared" si="1"/>
        <v>#DIV/0!</v>
      </c>
    </row>
    <row r="26" spans="1:16">
      <c r="A26" s="12">
        <v>-6</v>
      </c>
      <c r="B26" s="12">
        <v>-0.1787</v>
      </c>
      <c r="C26" s="12">
        <v>1.6750000000000001E-2</v>
      </c>
      <c r="D26" s="12">
        <v>9.1999999999999998E-3</v>
      </c>
      <c r="E26" s="12">
        <v>-0.1081</v>
      </c>
      <c r="F26" s="12">
        <v>0.86550000000000005</v>
      </c>
      <c r="G26" s="12">
        <v>0.1305</v>
      </c>
      <c r="H26" s="12"/>
      <c r="I26" s="16">
        <f>'Info. (Trap.)'!$H$6*('Aero. Chract. (Trap.)'!A26-'Info. (Trap.)'!$G$6)</f>
        <v>-0.17459420131291023</v>
      </c>
      <c r="J26" s="16">
        <f>'Info. (Trap.)'!$J$6*('Aero. Chract. (Trap.)'!A26-'Info. (Trap.)'!$G$6)</f>
        <v>-4.3136911032917294E-2</v>
      </c>
      <c r="K26" s="12"/>
      <c r="M26" s="16">
        <f t="shared" si="0"/>
        <v>-10.66865671641791</v>
      </c>
      <c r="N26" s="16" t="e">
        <f t="shared" si="2"/>
        <v>#DIV/0!</v>
      </c>
      <c r="O26" s="16">
        <f t="shared" si="1"/>
        <v>-9.3732512590934527E-2</v>
      </c>
      <c r="P26" s="16" t="e">
        <f t="shared" si="1"/>
        <v>#DIV/0!</v>
      </c>
    </row>
    <row r="27" spans="1:16">
      <c r="A27" s="12">
        <v>-8</v>
      </c>
      <c r="B27" s="12">
        <v>-0.40960000000000002</v>
      </c>
      <c r="C27" s="12">
        <v>2.0979999999999999E-2</v>
      </c>
      <c r="D27" s="12">
        <v>1.3679999999999999E-2</v>
      </c>
      <c r="E27" s="12">
        <v>-0.10730000000000001</v>
      </c>
      <c r="F27" s="12">
        <v>0.91269999999999996</v>
      </c>
      <c r="G27" s="12">
        <v>9.4100000000000003E-2</v>
      </c>
      <c r="H27" s="12"/>
      <c r="I27" s="16">
        <f>'Info. (Trap.)'!$H$6*('Aero. Chract. (Trap.)'!A27-'Info. (Trap.)'!$G$6)</f>
        <v>-0.38162560175054699</v>
      </c>
      <c r="J27" s="16">
        <f>'Info. (Trap.)'!$J$6*('Aero. Chract. (Trap.)'!A27-'Info. (Trap.)'!$G$6)</f>
        <v>-9.4288066309219334E-2</v>
      </c>
      <c r="M27" s="16">
        <f t="shared" si="0"/>
        <v>-19.523355576739753</v>
      </c>
      <c r="N27" s="16" t="e">
        <f t="shared" si="2"/>
        <v>#DIV/0!</v>
      </c>
      <c r="O27" s="16">
        <f t="shared" si="1"/>
        <v>-5.1220703124999996E-2</v>
      </c>
      <c r="P27" s="16" t="e">
        <f t="shared" si="1"/>
        <v>#DIV/0!</v>
      </c>
    </row>
    <row r="28" spans="1:16">
      <c r="A28" s="12">
        <v>-10</v>
      </c>
      <c r="B28" s="12">
        <v>-0.67130000000000001</v>
      </c>
      <c r="C28" s="12">
        <v>2.7470000000000001E-2</v>
      </c>
      <c r="D28" s="12">
        <v>2.0590000000000001E-2</v>
      </c>
      <c r="E28" s="12">
        <v>-9.7299999999999998E-2</v>
      </c>
      <c r="F28" s="12">
        <v>0.94620000000000004</v>
      </c>
      <c r="G28" s="12">
        <v>7.2599999999999998E-2</v>
      </c>
      <c r="H28" s="12"/>
      <c r="I28" s="16">
        <f>'Info. (Trap.)'!$H$6*('Aero. Chract. (Trap.)'!A28-'Info. (Trap.)'!$G$6)</f>
        <v>-0.58865700218818373</v>
      </c>
      <c r="J28" s="16">
        <f>'Info. (Trap.)'!$J$6*('Aero. Chract. (Trap.)'!A28-'Info. (Trap.)'!$G$6)</f>
        <v>-0.14543922158552139</v>
      </c>
      <c r="M28" s="16">
        <f t="shared" si="0"/>
        <v>-24.437568256279576</v>
      </c>
      <c r="N28" s="16" t="e">
        <f t="shared" si="2"/>
        <v>#DIV/0!</v>
      </c>
      <c r="O28" s="16">
        <f t="shared" si="1"/>
        <v>-4.0920601817369284E-2</v>
      </c>
      <c r="P28" s="16" t="e">
        <f t="shared" si="1"/>
        <v>#DIV/0!</v>
      </c>
    </row>
    <row r="29" spans="1:16">
      <c r="A29" s="12">
        <v>-12</v>
      </c>
      <c r="B29" s="12">
        <v>-0.88470000000000004</v>
      </c>
      <c r="C29" s="12">
        <v>3.7560000000000003E-2</v>
      </c>
      <c r="D29" s="12">
        <v>3.1719999999999998E-2</v>
      </c>
      <c r="E29" s="12">
        <v>-8.8499999999999995E-2</v>
      </c>
      <c r="F29" s="12">
        <v>0.98209999999999997</v>
      </c>
      <c r="G29" s="12">
        <v>6.0100000000000001E-2</v>
      </c>
      <c r="H29" s="12"/>
      <c r="I29" s="16">
        <f>'Info. (Trap.)'!$H$6*('Aero. Chract. (Trap.)'!A29-'Info. (Trap.)'!$G$6)</f>
        <v>-0.79568840262582041</v>
      </c>
      <c r="J29" s="16">
        <f>'Info. (Trap.)'!$J$6*('Aero. Chract. (Trap.)'!A29-'Info. (Trap.)'!$G$6)</f>
        <v>-0.19659037686182343</v>
      </c>
      <c r="M29" s="16">
        <f t="shared" si="0"/>
        <v>-23.554313099041533</v>
      </c>
      <c r="N29" s="16" t="e">
        <f t="shared" si="2"/>
        <v>#DIV/0!</v>
      </c>
      <c r="O29" s="16">
        <f t="shared" si="1"/>
        <v>-4.2455069515089865E-2</v>
      </c>
      <c r="P29" s="16" t="e">
        <f t="shared" si="1"/>
        <v>#DIV/0!</v>
      </c>
    </row>
    <row r="30" spans="1:16">
      <c r="A30" s="12">
        <v>-14</v>
      </c>
      <c r="B30" s="12">
        <v>-0.81420000000000003</v>
      </c>
      <c r="C30" s="12">
        <v>5.4539999999999998E-2</v>
      </c>
      <c r="D30" s="12">
        <v>4.9750000000000003E-2</v>
      </c>
      <c r="E30" s="12">
        <v>-9.8699999999999996E-2</v>
      </c>
      <c r="F30" s="12">
        <v>1</v>
      </c>
      <c r="G30" s="12">
        <v>5.6000000000000001E-2</v>
      </c>
      <c r="H30" s="12"/>
      <c r="M30" s="16">
        <f t="shared" si="0"/>
        <v>-14.928492849284929</v>
      </c>
      <c r="O30" s="16">
        <f t="shared" si="1"/>
        <v>-6.6985998526160648E-2</v>
      </c>
    </row>
    <row r="31" spans="1:16">
      <c r="A31" s="12">
        <v>-16</v>
      </c>
      <c r="B31" s="12">
        <v>-0.22539999999999999</v>
      </c>
      <c r="C31" s="12">
        <v>0.16083</v>
      </c>
      <c r="D31" s="12">
        <v>0.15756000000000001</v>
      </c>
      <c r="E31" s="12">
        <v>-4.1399999999999999E-2</v>
      </c>
      <c r="F31" s="12">
        <v>1</v>
      </c>
      <c r="G31" s="12">
        <v>6.3299999999999995E-2</v>
      </c>
      <c r="H31" s="12"/>
      <c r="M31" s="16">
        <f t="shared" si="0"/>
        <v>-1.4014798234160293</v>
      </c>
      <c r="O31" s="16">
        <f t="shared" si="1"/>
        <v>-0.71353149955634432</v>
      </c>
    </row>
    <row r="32" spans="1:16">
      <c r="A32" s="12">
        <v>-18</v>
      </c>
      <c r="B32" s="12">
        <v>-0.22040000000000001</v>
      </c>
      <c r="C32" s="12">
        <v>0.17191000000000001</v>
      </c>
      <c r="D32" s="12">
        <v>0.16853000000000001</v>
      </c>
      <c r="E32" s="12">
        <v>-4.2200000000000001E-2</v>
      </c>
      <c r="F32" s="12">
        <v>1</v>
      </c>
      <c r="G32" s="12">
        <v>5.5199999999999999E-2</v>
      </c>
      <c r="H32" s="12"/>
      <c r="M32" s="16">
        <f t="shared" si="0"/>
        <v>-1.2820661974288872</v>
      </c>
      <c r="O32" s="16">
        <f t="shared" si="1"/>
        <v>-0.77999092558983674</v>
      </c>
    </row>
    <row r="33" spans="1:8">
      <c r="A33" s="12"/>
      <c r="B33" s="12"/>
      <c r="C33" s="12"/>
      <c r="D33" s="12"/>
      <c r="E33" s="12"/>
      <c r="F33" s="12"/>
      <c r="G33" s="12"/>
      <c r="H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Standard Atm.</vt:lpstr>
      <vt:lpstr>Aero. Chract. (Total)</vt:lpstr>
      <vt:lpstr>Info (Payload Bay)</vt:lpstr>
      <vt:lpstr>Aero. Chract. (Payload Bay)</vt:lpstr>
      <vt:lpstr>Info. (Bar)</vt:lpstr>
      <vt:lpstr>Aero. Chract. (Bar)</vt:lpstr>
      <vt:lpstr>Info. (Trap.)</vt:lpstr>
      <vt:lpstr>Aero. Chract. (Trap.)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</dc:creator>
  <cp:lastModifiedBy>Kazu</cp:lastModifiedBy>
  <dcterms:created xsi:type="dcterms:W3CDTF">2011-10-04T05:51:08Z</dcterms:created>
  <dcterms:modified xsi:type="dcterms:W3CDTF">2011-10-24T05:17:47Z</dcterms:modified>
</cp:coreProperties>
</file>