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4010" yWindow="0" windowWidth="14820" windowHeight="12135" tabRatio="858" activeTab="8"/>
  </bookViews>
  <sheets>
    <sheet name="Aero Data" sheetId="16" r:id="rId1"/>
    <sheet name="Wing Info. (Ref)" sheetId="9" r:id="rId2"/>
    <sheet name="Wing Chract. (Ref)" sheetId="10" r:id="rId3"/>
    <sheet name="Wing Mid." sheetId="13" r:id="rId4"/>
    <sheet name="Horizontal Info." sheetId="11" r:id="rId5"/>
    <sheet name="Horizontal Chract." sheetId="12" r:id="rId6"/>
    <sheet name="Vertical Info." sheetId="17" r:id="rId7"/>
    <sheet name="Vertical Chract." sheetId="18" r:id="rId8"/>
    <sheet name="Take Off and Turn" sheetId="19" r:id="rId9"/>
    <sheet name="Xfoil vs Exp." sheetId="20" r:id="rId10"/>
    <sheet name="Optional 1" sheetId="14" r:id="rId11"/>
    <sheet name="Optional 2" sheetId="15" r:id="rId12"/>
  </sheets>
  <calcPr calcId="125725"/>
</workbook>
</file>

<file path=xl/calcChain.xml><?xml version="1.0" encoding="utf-8"?>
<calcChain xmlns="http://schemas.openxmlformats.org/spreadsheetml/2006/main">
  <c r="N2" i="19"/>
  <c r="U39" i="13"/>
  <c r="V39"/>
  <c r="G13" i="19"/>
  <c r="H4"/>
  <c r="G3"/>
  <c r="G4"/>
  <c r="G5"/>
  <c r="G6"/>
  <c r="G7"/>
  <c r="G8"/>
  <c r="G9"/>
  <c r="G10"/>
  <c r="G11"/>
  <c r="G12"/>
  <c r="I3"/>
  <c r="I4"/>
  <c r="I5"/>
  <c r="I6"/>
  <c r="I7"/>
  <c r="I8"/>
  <c r="I9"/>
  <c r="I10"/>
  <c r="I11"/>
  <c r="I12"/>
  <c r="I13"/>
  <c r="I2"/>
  <c r="J2"/>
  <c r="J3"/>
  <c r="J4"/>
  <c r="J5"/>
  <c r="J6"/>
  <c r="J7"/>
  <c r="J8"/>
  <c r="J9"/>
  <c r="J10"/>
  <c r="J11"/>
  <c r="J12"/>
  <c r="H13"/>
  <c r="H2"/>
  <c r="H3"/>
  <c r="H5"/>
  <c r="H6"/>
  <c r="H7"/>
  <c r="H8"/>
  <c r="H9"/>
  <c r="H10"/>
  <c r="H11"/>
  <c r="H12"/>
  <c r="F2"/>
  <c r="M3"/>
  <c r="M4"/>
  <c r="M5"/>
  <c r="M6"/>
  <c r="M7"/>
  <c r="M8"/>
  <c r="M9"/>
  <c r="M10"/>
  <c r="M11"/>
  <c r="M12"/>
  <c r="M13"/>
  <c r="M14"/>
  <c r="M2"/>
  <c r="F11"/>
  <c r="F12"/>
  <c r="F10"/>
  <c r="U26" i="14"/>
  <c r="V26"/>
  <c r="V27" i="15"/>
  <c r="V28"/>
  <c r="V29"/>
  <c r="V30"/>
  <c r="V31"/>
  <c r="V32"/>
  <c r="V33"/>
  <c r="V34"/>
  <c r="V35"/>
  <c r="V36"/>
  <c r="V37"/>
  <c r="V38"/>
  <c r="V26"/>
  <c r="U27"/>
  <c r="U28"/>
  <c r="U29"/>
  <c r="U30"/>
  <c r="U31"/>
  <c r="U32"/>
  <c r="U33"/>
  <c r="U34"/>
  <c r="U35"/>
  <c r="U36"/>
  <c r="U37"/>
  <c r="U38"/>
  <c r="U26"/>
  <c r="U36" i="14"/>
  <c r="V36"/>
  <c r="U37"/>
  <c r="V37"/>
  <c r="U38"/>
  <c r="V38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K2" i="15"/>
  <c r="G2" i="19"/>
  <c r="F3"/>
  <c r="F4"/>
  <c r="F5"/>
  <c r="F6"/>
  <c r="F7"/>
  <c r="F8"/>
  <c r="F9"/>
  <c r="I5" i="18"/>
  <c r="I6"/>
  <c r="I7"/>
  <c r="I8"/>
  <c r="I9"/>
  <c r="I10"/>
  <c r="I11"/>
  <c r="I12"/>
  <c r="I13"/>
  <c r="I14"/>
  <c r="I4"/>
  <c r="G11" i="9"/>
  <c r="M6" i="17"/>
  <c r="N6" s="1"/>
  <c r="H6"/>
  <c r="I6" s="1"/>
  <c r="C12"/>
  <c r="C11"/>
  <c r="F9"/>
  <c r="E6" s="1"/>
  <c r="C8"/>
  <c r="B8"/>
  <c r="L2"/>
  <c r="K2"/>
  <c r="M2" s="1"/>
  <c r="I2"/>
  <c r="H9" s="1"/>
  <c r="M14" i="18"/>
  <c r="O14" s="1"/>
  <c r="M13"/>
  <c r="O13" s="1"/>
  <c r="M12"/>
  <c r="O12" s="1"/>
  <c r="M11"/>
  <c r="O11" s="1"/>
  <c r="O10"/>
  <c r="M10"/>
  <c r="M9"/>
  <c r="O9" s="1"/>
  <c r="M8"/>
  <c r="O8" s="1"/>
  <c r="O7"/>
  <c r="M7"/>
  <c r="O6"/>
  <c r="M6"/>
  <c r="O5"/>
  <c r="M5"/>
  <c r="M4"/>
  <c r="O4" s="1"/>
  <c r="L2" i="9"/>
  <c r="K6" i="17" l="1"/>
  <c r="J6" s="1"/>
  <c r="J10" i="18" s="1"/>
  <c r="S10" s="1"/>
  <c r="G9" i="17"/>
  <c r="J8" i="18" l="1"/>
  <c r="J14"/>
  <c r="S14" s="1"/>
  <c r="J7"/>
  <c r="T7" s="1"/>
  <c r="V7" s="1"/>
  <c r="N10"/>
  <c r="P10" s="1"/>
  <c r="J11"/>
  <c r="S11" s="1"/>
  <c r="J6"/>
  <c r="J4"/>
  <c r="J13"/>
  <c r="S13" s="1"/>
  <c r="T10"/>
  <c r="V10" s="1"/>
  <c r="J9"/>
  <c r="J5"/>
  <c r="S5" s="1"/>
  <c r="J12"/>
  <c r="S12" s="1"/>
  <c r="T11"/>
  <c r="V11" s="1"/>
  <c r="T5"/>
  <c r="V5" s="1"/>
  <c r="N14"/>
  <c r="P14" s="1"/>
  <c r="T14"/>
  <c r="V14" s="1"/>
  <c r="S9"/>
  <c r="T9"/>
  <c r="V9" s="1"/>
  <c r="S6"/>
  <c r="N6"/>
  <c r="P6" s="1"/>
  <c r="T6"/>
  <c r="V6" s="1"/>
  <c r="N5"/>
  <c r="P5" s="1"/>
  <c r="N12"/>
  <c r="P12" s="1"/>
  <c r="T12"/>
  <c r="V12" s="1"/>
  <c r="N9"/>
  <c r="P9" s="1"/>
  <c r="N7"/>
  <c r="P7" s="1"/>
  <c r="N13"/>
  <c r="P13" s="1"/>
  <c r="T13"/>
  <c r="V13" s="1"/>
  <c r="H10" i="17"/>
  <c r="A11" i="16"/>
  <c r="B21"/>
  <c r="B17"/>
  <c r="B16"/>
  <c r="F18"/>
  <c r="F17"/>
  <c r="F16"/>
  <c r="C28"/>
  <c r="C32"/>
  <c r="C31"/>
  <c r="C25"/>
  <c r="B25"/>
  <c r="F19"/>
  <c r="G19" s="1"/>
  <c r="B34"/>
  <c r="B35" s="1"/>
  <c r="C12" i="15"/>
  <c r="C11"/>
  <c r="C8"/>
  <c r="B8"/>
  <c r="H7"/>
  <c r="M6"/>
  <c r="H6"/>
  <c r="Q19" s="1"/>
  <c r="G6"/>
  <c r="L2"/>
  <c r="I2"/>
  <c r="Q17" i="14"/>
  <c r="Q13"/>
  <c r="C12"/>
  <c r="C11"/>
  <c r="Q10"/>
  <c r="Q27" s="1"/>
  <c r="Q8" s="1"/>
  <c r="C8"/>
  <c r="B8"/>
  <c r="I7"/>
  <c r="H7"/>
  <c r="Q9" s="1"/>
  <c r="N6"/>
  <c r="M6"/>
  <c r="I6"/>
  <c r="H6"/>
  <c r="Q19" s="1"/>
  <c r="G6"/>
  <c r="K2"/>
  <c r="L2" s="1"/>
  <c r="I2"/>
  <c r="H11" s="1"/>
  <c r="H6" i="11"/>
  <c r="I7" i="12" s="1"/>
  <c r="C12" i="13"/>
  <c r="C11"/>
  <c r="C8"/>
  <c r="B8"/>
  <c r="H7"/>
  <c r="I7" s="1"/>
  <c r="M6"/>
  <c r="H6"/>
  <c r="I6" s="1"/>
  <c r="G6"/>
  <c r="K2"/>
  <c r="M2" s="1"/>
  <c r="I2"/>
  <c r="H11" s="1"/>
  <c r="M6" i="9"/>
  <c r="N6" s="1"/>
  <c r="M6" i="11"/>
  <c r="N6" s="1"/>
  <c r="G6" i="9"/>
  <c r="H6"/>
  <c r="M14" i="12"/>
  <c r="O14" s="1"/>
  <c r="M13"/>
  <c r="O13" s="1"/>
  <c r="M12"/>
  <c r="O12" s="1"/>
  <c r="M11"/>
  <c r="O11" s="1"/>
  <c r="M10"/>
  <c r="O10" s="1"/>
  <c r="M9"/>
  <c r="O9" s="1"/>
  <c r="M8"/>
  <c r="O8" s="1"/>
  <c r="M7"/>
  <c r="O7" s="1"/>
  <c r="M6"/>
  <c r="O6" s="1"/>
  <c r="M5"/>
  <c r="O5" s="1"/>
  <c r="M4"/>
  <c r="O4" s="1"/>
  <c r="C12" i="11"/>
  <c r="C11"/>
  <c r="C8"/>
  <c r="B8"/>
  <c r="K2"/>
  <c r="L2" s="1"/>
  <c r="I2"/>
  <c r="C12" i="9"/>
  <c r="H7"/>
  <c r="M23" i="10"/>
  <c r="O23" s="1"/>
  <c r="M22"/>
  <c r="O22" s="1"/>
  <c r="M21"/>
  <c r="O21" s="1"/>
  <c r="M20"/>
  <c r="O20" s="1"/>
  <c r="M19"/>
  <c r="O19" s="1"/>
  <c r="O18"/>
  <c r="M18"/>
  <c r="M17"/>
  <c r="O17" s="1"/>
  <c r="M16"/>
  <c r="O16" s="1"/>
  <c r="M15"/>
  <c r="O15" s="1"/>
  <c r="O14"/>
  <c r="M14"/>
  <c r="M13"/>
  <c r="O13" s="1"/>
  <c r="M12"/>
  <c r="O12" s="1"/>
  <c r="M11"/>
  <c r="O11" s="1"/>
  <c r="O10"/>
  <c r="M10"/>
  <c r="M9"/>
  <c r="O9" s="1"/>
  <c r="M8"/>
  <c r="O8" s="1"/>
  <c r="M7"/>
  <c r="O7" s="1"/>
  <c r="O6"/>
  <c r="M6"/>
  <c r="O5"/>
  <c r="M5"/>
  <c r="M4"/>
  <c r="O4" s="1"/>
  <c r="C11" i="9"/>
  <c r="C8"/>
  <c r="B8"/>
  <c r="K2"/>
  <c r="I2"/>
  <c r="N20" i="16" s="1"/>
  <c r="T8" i="18" l="1"/>
  <c r="V8" s="1"/>
  <c r="N8"/>
  <c r="P8" s="1"/>
  <c r="S8"/>
  <c r="S7"/>
  <c r="N11"/>
  <c r="P11" s="1"/>
  <c r="T4"/>
  <c r="V4" s="1"/>
  <c r="S4"/>
  <c r="N4"/>
  <c r="P4" s="1"/>
  <c r="N16" i="16"/>
  <c r="N21"/>
  <c r="P16"/>
  <c r="N32"/>
  <c r="N23"/>
  <c r="N24"/>
  <c r="N29"/>
  <c r="N30"/>
  <c r="N31"/>
  <c r="N22"/>
  <c r="N15"/>
  <c r="N25"/>
  <c r="N17"/>
  <c r="N26"/>
  <c r="N27"/>
  <c r="N19"/>
  <c r="N18"/>
  <c r="N28"/>
  <c r="G9" i="11"/>
  <c r="L11" i="14"/>
  <c r="P31" i="16"/>
  <c r="P29"/>
  <c r="P27"/>
  <c r="P25"/>
  <c r="P23"/>
  <c r="P21"/>
  <c r="P19"/>
  <c r="P17"/>
  <c r="P15"/>
  <c r="L11" i="15"/>
  <c r="P32" i="16"/>
  <c r="P30"/>
  <c r="P28"/>
  <c r="P26"/>
  <c r="P24"/>
  <c r="P22"/>
  <c r="P20"/>
  <c r="P18"/>
  <c r="B36"/>
  <c r="H11" i="15"/>
  <c r="J11" s="1"/>
  <c r="M2"/>
  <c r="J11" i="14"/>
  <c r="M2"/>
  <c r="G11" i="15"/>
  <c r="Q12"/>
  <c r="Q16"/>
  <c r="Q20"/>
  <c r="I6"/>
  <c r="N6"/>
  <c r="Q10"/>
  <c r="Q27" s="1"/>
  <c r="Q9" s="1"/>
  <c r="F11"/>
  <c r="E6" s="1"/>
  <c r="Q13"/>
  <c r="Q17"/>
  <c r="I11"/>
  <c r="K11" s="1"/>
  <c r="Q11"/>
  <c r="Q14"/>
  <c r="Q18"/>
  <c r="I7"/>
  <c r="Q15"/>
  <c r="F11" i="14"/>
  <c r="Q7"/>
  <c r="G11"/>
  <c r="Q12"/>
  <c r="Q16"/>
  <c r="Q20"/>
  <c r="I11"/>
  <c r="K11" s="1"/>
  <c r="Q11"/>
  <c r="Q14"/>
  <c r="Q18"/>
  <c r="Q15"/>
  <c r="Q20" i="13"/>
  <c r="Q16"/>
  <c r="Q12"/>
  <c r="Q17"/>
  <c r="Q13"/>
  <c r="Q18"/>
  <c r="Q14"/>
  <c r="Q19"/>
  <c r="Q15"/>
  <c r="Q11"/>
  <c r="Q10"/>
  <c r="Q27" s="1"/>
  <c r="Q7" s="1"/>
  <c r="L2"/>
  <c r="G11"/>
  <c r="N6"/>
  <c r="F11"/>
  <c r="E6" s="1"/>
  <c r="I11"/>
  <c r="J11"/>
  <c r="L11"/>
  <c r="I8" i="12"/>
  <c r="I12"/>
  <c r="H9" i="11"/>
  <c r="I5" i="12"/>
  <c r="I13"/>
  <c r="I9"/>
  <c r="I4"/>
  <c r="I6"/>
  <c r="I14"/>
  <c r="I10"/>
  <c r="I11"/>
  <c r="I6" i="9"/>
  <c r="I6" i="11"/>
  <c r="K6" s="1"/>
  <c r="J6" s="1"/>
  <c r="M2"/>
  <c r="F9"/>
  <c r="E6" s="1"/>
  <c r="I7" i="9"/>
  <c r="H11"/>
  <c r="J11" s="1"/>
  <c r="M2"/>
  <c r="I11"/>
  <c r="K11" s="1"/>
  <c r="L11"/>
  <c r="I17" i="10"/>
  <c r="I13"/>
  <c r="I16"/>
  <c r="I18"/>
  <c r="I14"/>
  <c r="I10"/>
  <c r="I26" s="1"/>
  <c r="I7" s="1"/>
  <c r="I20"/>
  <c r="I12"/>
  <c r="I19"/>
  <c r="I15"/>
  <c r="I11"/>
  <c r="F11" i="9"/>
  <c r="B19" i="16" s="1"/>
  <c r="K7" i="15" l="1"/>
  <c r="J7" s="1"/>
  <c r="K6"/>
  <c r="J6" s="1"/>
  <c r="G12" s="1"/>
  <c r="K6" i="14"/>
  <c r="J6" s="1"/>
  <c r="Q8" i="15"/>
  <c r="Q7"/>
  <c r="K7" i="14"/>
  <c r="J7" s="1"/>
  <c r="E6"/>
  <c r="K6" i="13"/>
  <c r="J6" s="1"/>
  <c r="Q9"/>
  <c r="Q8"/>
  <c r="K11"/>
  <c r="K7"/>
  <c r="J7" s="1"/>
  <c r="K6" i="9"/>
  <c r="J6" s="1"/>
  <c r="E6"/>
  <c r="B18" i="16" s="1"/>
  <c r="I8" i="10"/>
  <c r="I9"/>
  <c r="K7" i="9"/>
  <c r="J7" s="1"/>
  <c r="R17" i="13" l="1"/>
  <c r="R16"/>
  <c r="R13"/>
  <c r="R20"/>
  <c r="R11"/>
  <c r="G12"/>
  <c r="R18"/>
  <c r="R15"/>
  <c r="R14"/>
  <c r="U26" s="1"/>
  <c r="R12"/>
  <c r="R19"/>
  <c r="R19" i="15"/>
  <c r="X19" s="1"/>
  <c r="R18"/>
  <c r="U18" s="1"/>
  <c r="V18" s="1"/>
  <c r="R15"/>
  <c r="Y15" s="1"/>
  <c r="AA15" s="1"/>
  <c r="R14"/>
  <c r="I12" s="1"/>
  <c r="K12" s="1"/>
  <c r="R11"/>
  <c r="X11" s="1"/>
  <c r="R17"/>
  <c r="X17" s="1"/>
  <c r="R20"/>
  <c r="X20" s="1"/>
  <c r="R13"/>
  <c r="U13" s="1"/>
  <c r="V13" s="1"/>
  <c r="R16"/>
  <c r="X16" s="1"/>
  <c r="R10"/>
  <c r="X10" s="1"/>
  <c r="R12"/>
  <c r="Y12" s="1"/>
  <c r="AA12" s="1"/>
  <c r="G12" i="14"/>
  <c r="R20"/>
  <c r="Y20" s="1"/>
  <c r="AA20" s="1"/>
  <c r="R15"/>
  <c r="Y15" s="1"/>
  <c r="AA15" s="1"/>
  <c r="R17"/>
  <c r="Y17" s="1"/>
  <c r="AA17" s="1"/>
  <c r="R19"/>
  <c r="Y19" s="1"/>
  <c r="AA19" s="1"/>
  <c r="R11"/>
  <c r="U11" s="1"/>
  <c r="V11" s="1"/>
  <c r="R12"/>
  <c r="X12" s="1"/>
  <c r="R14"/>
  <c r="I12" s="1"/>
  <c r="K12" s="1"/>
  <c r="R10"/>
  <c r="Y10" s="1"/>
  <c r="AA10" s="1"/>
  <c r="R16"/>
  <c r="U16" s="1"/>
  <c r="V16" s="1"/>
  <c r="R18"/>
  <c r="Y18" s="1"/>
  <c r="AA18" s="1"/>
  <c r="R13"/>
  <c r="Y13" s="1"/>
  <c r="AA13" s="1"/>
  <c r="Y17" i="15"/>
  <c r="AA17" s="1"/>
  <c r="X10" i="14"/>
  <c r="U14"/>
  <c r="V14" s="1"/>
  <c r="Y12"/>
  <c r="AA12" s="1"/>
  <c r="U12"/>
  <c r="V12" s="1"/>
  <c r="U19"/>
  <c r="V19" s="1"/>
  <c r="R10" i="13"/>
  <c r="J8" i="12"/>
  <c r="T8" s="1"/>
  <c r="J12"/>
  <c r="T12" s="1"/>
  <c r="J4"/>
  <c r="J6"/>
  <c r="J7"/>
  <c r="T7" s="1"/>
  <c r="J11"/>
  <c r="T11" s="1"/>
  <c r="J5"/>
  <c r="T5" s="1"/>
  <c r="J9"/>
  <c r="J13"/>
  <c r="T13" s="1"/>
  <c r="J10"/>
  <c r="T10" s="1"/>
  <c r="J14"/>
  <c r="T14" s="1"/>
  <c r="T6"/>
  <c r="J13" i="10"/>
  <c r="T13" s="1"/>
  <c r="J20"/>
  <c r="T20" s="1"/>
  <c r="J18"/>
  <c r="T18" s="1"/>
  <c r="J17"/>
  <c r="T17" s="1"/>
  <c r="J10"/>
  <c r="J14"/>
  <c r="M15" i="16" s="1"/>
  <c r="J12" i="10"/>
  <c r="T12" s="1"/>
  <c r="J15"/>
  <c r="T15" s="1"/>
  <c r="J16"/>
  <c r="T16" s="1"/>
  <c r="J19"/>
  <c r="T19" s="1"/>
  <c r="J11"/>
  <c r="T11" s="1"/>
  <c r="Y16" i="13" l="1"/>
  <c r="AA16" s="1"/>
  <c r="X16"/>
  <c r="Y19"/>
  <c r="AA19" s="1"/>
  <c r="X19"/>
  <c r="Y18"/>
  <c r="AA18" s="1"/>
  <c r="X18"/>
  <c r="X15"/>
  <c r="Y15"/>
  <c r="X10"/>
  <c r="Y10"/>
  <c r="U34"/>
  <c r="U33"/>
  <c r="U30"/>
  <c r="U29"/>
  <c r="U37"/>
  <c r="U28"/>
  <c r="U36"/>
  <c r="U27"/>
  <c r="U32"/>
  <c r="U31"/>
  <c r="U38"/>
  <c r="U35"/>
  <c r="X14"/>
  <c r="Y14"/>
  <c r="AA14" s="1"/>
  <c r="I12"/>
  <c r="K12" s="1"/>
  <c r="L12"/>
  <c r="X17"/>
  <c r="Y17"/>
  <c r="AA17" s="1"/>
  <c r="Y20"/>
  <c r="AA20" s="1"/>
  <c r="X20"/>
  <c r="Y12"/>
  <c r="X12"/>
  <c r="Y13"/>
  <c r="AA13" s="1"/>
  <c r="X13"/>
  <c r="Y11"/>
  <c r="AA11" s="1"/>
  <c r="X11"/>
  <c r="U20" i="14"/>
  <c r="V20" s="1"/>
  <c r="Y16"/>
  <c r="AA16" s="1"/>
  <c r="X20"/>
  <c r="X16"/>
  <c r="X19"/>
  <c r="U10"/>
  <c r="V10" s="1"/>
  <c r="U15" i="15"/>
  <c r="V15" s="1"/>
  <c r="U15" i="14"/>
  <c r="V15" s="1"/>
  <c r="X18"/>
  <c r="X11"/>
  <c r="Y11"/>
  <c r="AA11" s="1"/>
  <c r="U13"/>
  <c r="V13" s="1"/>
  <c r="U17"/>
  <c r="V17" s="1"/>
  <c r="X14"/>
  <c r="X13"/>
  <c r="X17"/>
  <c r="Y14"/>
  <c r="AA14" s="1"/>
  <c r="L12"/>
  <c r="Y16" i="15"/>
  <c r="AA16" s="1"/>
  <c r="U16"/>
  <c r="V16" s="1"/>
  <c r="U10"/>
  <c r="V10" s="1"/>
  <c r="Y19"/>
  <c r="AA19" s="1"/>
  <c r="U19"/>
  <c r="V19" s="1"/>
  <c r="X15"/>
  <c r="R27"/>
  <c r="R8" s="1"/>
  <c r="Y20"/>
  <c r="AA20" s="1"/>
  <c r="U12"/>
  <c r="V12" s="1"/>
  <c r="U20"/>
  <c r="V20" s="1"/>
  <c r="X12"/>
  <c r="X13"/>
  <c r="X18"/>
  <c r="Y10"/>
  <c r="AA10" s="1"/>
  <c r="Y18"/>
  <c r="AA18" s="1"/>
  <c r="U17"/>
  <c r="V17" s="1"/>
  <c r="Y13"/>
  <c r="AA13" s="1"/>
  <c r="Y11"/>
  <c r="AA11" s="1"/>
  <c r="Y14"/>
  <c r="AA14" s="1"/>
  <c r="U11"/>
  <c r="V11" s="1"/>
  <c r="L12"/>
  <c r="U14"/>
  <c r="V14" s="1"/>
  <c r="X14"/>
  <c r="J26" i="10"/>
  <c r="J7" s="1"/>
  <c r="O27" i="16"/>
  <c r="F26"/>
  <c r="G26" s="1"/>
  <c r="O26"/>
  <c r="O29"/>
  <c r="O28"/>
  <c r="O19"/>
  <c r="O25"/>
  <c r="O31"/>
  <c r="O15"/>
  <c r="O30"/>
  <c r="O18"/>
  <c r="O21"/>
  <c r="O20"/>
  <c r="O24"/>
  <c r="O17"/>
  <c r="O32"/>
  <c r="O16"/>
  <c r="O23"/>
  <c r="O22"/>
  <c r="F15"/>
  <c r="M27"/>
  <c r="M22"/>
  <c r="F25"/>
  <c r="G25" s="1"/>
  <c r="M29"/>
  <c r="M24"/>
  <c r="M19"/>
  <c r="M30"/>
  <c r="M21"/>
  <c r="M31"/>
  <c r="M26"/>
  <c r="M16"/>
  <c r="M32"/>
  <c r="M23"/>
  <c r="M25"/>
  <c r="M20"/>
  <c r="M17"/>
  <c r="M28"/>
  <c r="M18"/>
  <c r="U18" i="14"/>
  <c r="V18" s="1"/>
  <c r="X15"/>
  <c r="R27"/>
  <c r="U19" i="13"/>
  <c r="V19" s="1"/>
  <c r="U20"/>
  <c r="V20" s="1"/>
  <c r="AA15"/>
  <c r="U15"/>
  <c r="V15" s="1"/>
  <c r="U16"/>
  <c r="V16" s="1"/>
  <c r="U17"/>
  <c r="V17" s="1"/>
  <c r="U18"/>
  <c r="V18" s="1"/>
  <c r="AA12"/>
  <c r="U12"/>
  <c r="V12" s="1"/>
  <c r="R27"/>
  <c r="U10"/>
  <c r="V10" s="1"/>
  <c r="AA10"/>
  <c r="U13"/>
  <c r="V13" s="1"/>
  <c r="U14"/>
  <c r="V14" s="1"/>
  <c r="U11"/>
  <c r="V11" s="1"/>
  <c r="T9" i="12"/>
  <c r="V9" s="1"/>
  <c r="H10" i="11"/>
  <c r="S7" i="12"/>
  <c r="N7"/>
  <c r="P7" s="1"/>
  <c r="V7"/>
  <c r="S10"/>
  <c r="N10"/>
  <c r="P10" s="1"/>
  <c r="V10"/>
  <c r="V11"/>
  <c r="N11"/>
  <c r="P11" s="1"/>
  <c r="S11"/>
  <c r="S9"/>
  <c r="N9"/>
  <c r="P9" s="1"/>
  <c r="V5"/>
  <c r="N5"/>
  <c r="P5" s="1"/>
  <c r="S5"/>
  <c r="S6"/>
  <c r="V6"/>
  <c r="N6"/>
  <c r="P6" s="1"/>
  <c r="V13"/>
  <c r="S13"/>
  <c r="N13"/>
  <c r="P13" s="1"/>
  <c r="V8"/>
  <c r="S8"/>
  <c r="N8"/>
  <c r="P8" s="1"/>
  <c r="S14"/>
  <c r="V14"/>
  <c r="N14"/>
  <c r="P14" s="1"/>
  <c r="V12"/>
  <c r="S12"/>
  <c r="N12"/>
  <c r="P12" s="1"/>
  <c r="N14" i="10"/>
  <c r="P14" s="1"/>
  <c r="T14"/>
  <c r="V14" s="1"/>
  <c r="T7"/>
  <c r="V7" s="1"/>
  <c r="T10"/>
  <c r="V10" s="1"/>
  <c r="L12" i="9"/>
  <c r="N11" i="10"/>
  <c r="P11" s="1"/>
  <c r="V11"/>
  <c r="S11"/>
  <c r="N13"/>
  <c r="P13" s="1"/>
  <c r="V13"/>
  <c r="S13"/>
  <c r="N10"/>
  <c r="P10" s="1"/>
  <c r="S10"/>
  <c r="N15"/>
  <c r="P15" s="1"/>
  <c r="V15"/>
  <c r="S15"/>
  <c r="N20"/>
  <c r="P20" s="1"/>
  <c r="S20"/>
  <c r="V20"/>
  <c r="N17"/>
  <c r="P17" s="1"/>
  <c r="V17"/>
  <c r="S17"/>
  <c r="N16"/>
  <c r="P16" s="1"/>
  <c r="S16"/>
  <c r="V16"/>
  <c r="S14"/>
  <c r="N19"/>
  <c r="P19" s="1"/>
  <c r="V19"/>
  <c r="S19"/>
  <c r="N12"/>
  <c r="P12" s="1"/>
  <c r="S12"/>
  <c r="V12"/>
  <c r="N18"/>
  <c r="P18" s="1"/>
  <c r="V18"/>
  <c r="S18"/>
  <c r="I12" i="9"/>
  <c r="K12" s="1"/>
  <c r="R8" i="13" l="1"/>
  <c r="R9"/>
  <c r="R7" i="15"/>
  <c r="Y7" s="1"/>
  <c r="AA7" s="1"/>
  <c r="R9"/>
  <c r="U9" s="1"/>
  <c r="V9" s="1"/>
  <c r="S7" i="10"/>
  <c r="H12" i="9"/>
  <c r="J12" s="1"/>
  <c r="F24" i="16"/>
  <c r="G24" s="1"/>
  <c r="N7" i="10"/>
  <c r="P7" s="1"/>
  <c r="J9"/>
  <c r="J8"/>
  <c r="R7" i="14"/>
  <c r="R8"/>
  <c r="R9"/>
  <c r="X8" i="15"/>
  <c r="Y8"/>
  <c r="AA8" s="1"/>
  <c r="U8"/>
  <c r="V8" s="1"/>
  <c r="U7"/>
  <c r="V7" s="1"/>
  <c r="X7"/>
  <c r="R7" i="13"/>
  <c r="T9" i="10"/>
  <c r="V9" s="1"/>
  <c r="S8"/>
  <c r="T4" i="12"/>
  <c r="V4" s="1"/>
  <c r="S4"/>
  <c r="N4"/>
  <c r="P4" s="1"/>
  <c r="F14" i="16" l="1"/>
  <c r="Y8" i="13"/>
  <c r="AA8" s="1"/>
  <c r="X8"/>
  <c r="Y9"/>
  <c r="X9"/>
  <c r="V38"/>
  <c r="V28"/>
  <c r="V26"/>
  <c r="V37"/>
  <c r="V27"/>
  <c r="V35"/>
  <c r="V36"/>
  <c r="V34"/>
  <c r="V33"/>
  <c r="V32"/>
  <c r="V31"/>
  <c r="V30"/>
  <c r="V29"/>
  <c r="Y7"/>
  <c r="AA7" s="1"/>
  <c r="X7"/>
  <c r="H12"/>
  <c r="J12" s="1"/>
  <c r="X9" i="15"/>
  <c r="H12"/>
  <c r="J12" s="1"/>
  <c r="Y9"/>
  <c r="AA9" s="1"/>
  <c r="T8" i="10"/>
  <c r="V8" s="1"/>
  <c r="N8"/>
  <c r="P8" s="1"/>
  <c r="N9"/>
  <c r="P9" s="1"/>
  <c r="S9"/>
  <c r="H12" i="14"/>
  <c r="J12" s="1"/>
  <c r="X7"/>
  <c r="U7"/>
  <c r="V7" s="1"/>
  <c r="Y7"/>
  <c r="AA7" s="1"/>
  <c r="Y9"/>
  <c r="AA9" s="1"/>
  <c r="X9"/>
  <c r="U9"/>
  <c r="V9" s="1"/>
  <c r="U8"/>
  <c r="V8" s="1"/>
  <c r="Y8"/>
  <c r="AA8" s="1"/>
  <c r="X8"/>
  <c r="U7" i="13"/>
  <c r="V7" s="1"/>
  <c r="U8"/>
  <c r="V8" s="1"/>
  <c r="U9"/>
  <c r="V9" s="1"/>
  <c r="AA9"/>
</calcChain>
</file>

<file path=xl/sharedStrings.xml><?xml version="1.0" encoding="utf-8"?>
<sst xmlns="http://schemas.openxmlformats.org/spreadsheetml/2006/main" count="520" uniqueCount="122">
  <si>
    <t>V (ft/s)</t>
  </si>
  <si>
    <t>Viscosity (slugs/ft*s)</t>
  </si>
  <si>
    <r>
      <t>Density (slugs/ft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</si>
  <si>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Temperature</t>
  </si>
  <si>
    <t>Speed of Sounds (ft/s)</t>
  </si>
  <si>
    <t>Elevation (Wichita)</t>
  </si>
  <si>
    <t>1300 ft</t>
  </si>
  <si>
    <t>e</t>
  </si>
  <si>
    <t>alpha</t>
  </si>
  <si>
    <t>CL</t>
  </si>
  <si>
    <t>Top_Xtr</t>
  </si>
  <si>
    <t>Bot_Xtr</t>
  </si>
  <si>
    <t>L/D</t>
  </si>
  <si>
    <t>1/(L/D)</t>
  </si>
  <si>
    <t>------</t>
  </si>
  <si>
    <t>--------</t>
  </si>
  <si>
    <t>---------</t>
  </si>
  <si>
    <t>t/c</t>
  </si>
  <si>
    <t>xac (%)</t>
  </si>
  <si>
    <t>Aspect Ratio</t>
  </si>
  <si>
    <t>Taper Ratio</t>
  </si>
  <si>
    <t>Re #:</t>
  </si>
  <si>
    <t>Cl</t>
  </si>
  <si>
    <t>Cd</t>
  </si>
  <si>
    <t>Cdp</t>
  </si>
  <si>
    <t>Cm</t>
  </si>
  <si>
    <t>Airfoil:</t>
  </si>
  <si>
    <t>Root</t>
  </si>
  <si>
    <t>Tip</t>
  </si>
  <si>
    <t>Chord</t>
  </si>
  <si>
    <t>Thickness</t>
  </si>
  <si>
    <t>Desired Weight (lb):</t>
  </si>
  <si>
    <t>Surface Area</t>
  </si>
  <si>
    <t>Desired Wing Span (ft):</t>
  </si>
  <si>
    <r>
      <t>Density (slug/ft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):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</si>
  <si>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</si>
  <si>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ft</t>
    </r>
    <r>
      <rPr>
        <vertAlign val="superscript"/>
        <sz val="11"/>
        <color theme="1"/>
        <rFont val="Calibri"/>
        <family val="2"/>
        <scheme val="minor"/>
      </rPr>
      <t>2</t>
    </r>
  </si>
  <si>
    <t>Linealized Cl</t>
  </si>
  <si>
    <t>CD</t>
  </si>
  <si>
    <t>CM</t>
  </si>
  <si>
    <t>l/d</t>
  </si>
  <si>
    <t>1/(l/d)</t>
  </si>
  <si>
    <t>T/W</t>
  </si>
  <si>
    <t>t/w</t>
  </si>
  <si>
    <t>2D</t>
  </si>
  <si>
    <t>3D</t>
  </si>
  <si>
    <r>
      <t>V</t>
    </r>
    <r>
      <rPr>
        <vertAlign val="subscript"/>
        <sz val="11"/>
        <color theme="1"/>
        <rFont val="Calibri"/>
        <family val="2"/>
        <scheme val="minor"/>
      </rPr>
      <t>stall</t>
    </r>
    <r>
      <rPr>
        <sz val="11"/>
        <color theme="1"/>
        <rFont val="Calibri"/>
        <family val="2"/>
        <scheme val="minor"/>
      </rPr>
      <t xml:space="preserve"> (ft/s)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</si>
  <si>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cruise</t>
    </r>
    <r>
      <rPr>
        <sz val="11"/>
        <color theme="1"/>
        <rFont val="Calibri"/>
        <family val="2"/>
        <scheme val="minor"/>
      </rPr>
      <t xml:space="preserve">  (ft/s)</t>
    </r>
  </si>
  <si>
    <r>
      <t xml:space="preserve">Lift </t>
    </r>
    <r>
      <rPr>
        <vertAlign val="subscript"/>
        <sz val="11"/>
        <color theme="1"/>
        <rFont val="Calibri"/>
        <family val="2"/>
        <scheme val="minor"/>
      </rPr>
      <t xml:space="preserve">takeoff </t>
    </r>
    <r>
      <rPr>
        <sz val="11"/>
        <color theme="1"/>
        <rFont val="Calibri"/>
        <family val="2"/>
        <scheme val="minor"/>
      </rPr>
      <t>(lb)</t>
    </r>
  </si>
  <si>
    <r>
      <t xml:space="preserve">Lift </t>
    </r>
    <r>
      <rPr>
        <vertAlign val="subscript"/>
        <sz val="11"/>
        <color theme="1"/>
        <rFont val="Calibri"/>
        <family val="2"/>
        <scheme val="minor"/>
      </rPr>
      <t>cruise</t>
    </r>
    <r>
      <rPr>
        <sz val="11"/>
        <color theme="1"/>
        <rFont val="Calibri"/>
        <family val="2"/>
        <scheme val="minor"/>
      </rPr>
      <t xml:space="preserve"> (lb)</t>
    </r>
  </si>
  <si>
    <t>Mean Aerodynamic Chord</t>
  </si>
  <si>
    <t>Y bar</t>
  </si>
  <si>
    <t>deg</t>
  </si>
  <si>
    <t>/deg</t>
  </si>
  <si>
    <t>/rad</t>
  </si>
  <si>
    <r>
      <t>Desired V</t>
    </r>
    <r>
      <rPr>
        <vertAlign val="subscript"/>
        <sz val="11"/>
        <color theme="1"/>
        <rFont val="Calibri"/>
        <family val="2"/>
        <scheme val="minor"/>
      </rPr>
      <t>cruise</t>
    </r>
    <r>
      <rPr>
        <sz val="11"/>
        <color theme="1"/>
        <rFont val="Calibri"/>
        <family val="2"/>
        <scheme val="minor"/>
      </rPr>
      <t xml:space="preserve"> (ft/s):</t>
    </r>
  </si>
  <si>
    <r>
      <t xml:space="preserve"> Lift </t>
    </r>
    <r>
      <rPr>
        <vertAlign val="subscript"/>
        <sz val="11"/>
        <color theme="1"/>
        <rFont val="Calibri"/>
        <family val="2"/>
        <scheme val="minor"/>
      </rPr>
      <t>Cruise Desired V</t>
    </r>
    <r>
      <rPr>
        <sz val="11"/>
        <color theme="1"/>
        <rFont val="Calibri"/>
        <family val="2"/>
        <scheme val="minor"/>
      </rPr>
      <t xml:space="preserve"> (lb)</t>
    </r>
  </si>
  <si>
    <t>V(mph)</t>
  </si>
  <si>
    <t>Mach #</t>
  </si>
  <si>
    <t>NACA4418</t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</si>
  <si>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  <scheme val="minor"/>
      </rPr>
      <t>Cl=0</t>
    </r>
  </si>
  <si>
    <t>rad</t>
  </si>
  <si>
    <t>cl</t>
  </si>
  <si>
    <t>cl2/piar</t>
  </si>
  <si>
    <t>cd</t>
  </si>
  <si>
    <t>a0 (0-8)</t>
  </si>
  <si>
    <t>a0 (8-16)</t>
  </si>
  <si>
    <t>a (0-8)</t>
  </si>
  <si>
    <t>a (8-16)</t>
  </si>
  <si>
    <t>Cl 8</t>
  </si>
  <si>
    <t>CL 8</t>
  </si>
  <si>
    <t>Sweep Angle 0.5c</t>
  </si>
  <si>
    <t>Sweep Angle LE</t>
  </si>
  <si>
    <t>Lift</t>
  </si>
  <si>
    <t>Drag</t>
  </si>
  <si>
    <t>Cruise</t>
  </si>
  <si>
    <r>
      <t>Take Off (</t>
    </r>
    <r>
      <rPr>
        <sz val="11"/>
        <color theme="1"/>
        <rFont val="Calibri"/>
        <family val="2"/>
      </rPr>
      <t>α=8)</t>
    </r>
  </si>
  <si>
    <t>m0</t>
  </si>
  <si>
    <t>NACA0009</t>
  </si>
  <si>
    <t>Wing Span (ft)</t>
  </si>
  <si>
    <t>Estimated Weight (lb)</t>
  </si>
  <si>
    <t>AR</t>
  </si>
  <si>
    <r>
      <t>V</t>
    </r>
    <r>
      <rPr>
        <vertAlign val="subscript"/>
        <sz val="11"/>
        <color theme="1"/>
        <rFont val="Calibri"/>
        <family val="2"/>
        <scheme val="minor"/>
      </rPr>
      <t>stall</t>
    </r>
    <r>
      <rPr>
        <sz val="11"/>
        <color theme="1"/>
        <rFont val="Calibri"/>
        <family val="2"/>
        <scheme val="minor"/>
      </rPr>
      <t xml:space="preserve"> </t>
    </r>
  </si>
  <si>
    <t>mph</t>
  </si>
  <si>
    <t>fps</t>
  </si>
  <si>
    <r>
      <t>V</t>
    </r>
    <r>
      <rPr>
        <vertAlign val="subscript"/>
        <sz val="11"/>
        <color theme="1"/>
        <rFont val="Calibri"/>
        <family val="2"/>
        <scheme val="minor"/>
      </rPr>
      <t>cruise</t>
    </r>
  </si>
  <si>
    <r>
      <t>V</t>
    </r>
    <r>
      <rPr>
        <vertAlign val="subscript"/>
        <sz val="11"/>
        <color theme="1"/>
        <rFont val="Calibri"/>
        <family val="2"/>
        <scheme val="minor"/>
      </rPr>
      <t>take off</t>
    </r>
  </si>
  <si>
    <t>R</t>
  </si>
  <si>
    <t>F</t>
  </si>
  <si>
    <r>
      <t>C</t>
    </r>
    <r>
      <rPr>
        <vertAlign val="subscript"/>
        <sz val="11"/>
        <color theme="1"/>
        <rFont val="Calibri"/>
        <family val="2"/>
        <scheme val="minor"/>
      </rPr>
      <t>L Max</t>
    </r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</si>
  <si>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  <scheme val="minor"/>
      </rPr>
      <t>Cl=0 (deg)</t>
    </r>
  </si>
  <si>
    <r>
      <t>C</t>
    </r>
    <r>
      <rPr>
        <vertAlign val="subscript"/>
        <sz val="11"/>
        <color theme="1"/>
        <rFont val="Calibri"/>
        <family val="2"/>
        <scheme val="minor"/>
      </rPr>
      <t xml:space="preserve">L </t>
    </r>
    <r>
      <rPr>
        <vertAlign val="subscript"/>
        <sz val="11"/>
        <color theme="1"/>
        <rFont val="Calibri"/>
        <family val="2"/>
      </rPr>
      <t>α=0</t>
    </r>
  </si>
  <si>
    <r>
      <t>C</t>
    </r>
    <r>
      <rPr>
        <vertAlign val="subscript"/>
        <sz val="11"/>
        <color theme="1"/>
        <rFont val="Calibri"/>
        <family val="2"/>
        <scheme val="minor"/>
      </rPr>
      <t>D0</t>
    </r>
  </si>
  <si>
    <r>
      <t>C</t>
    </r>
    <r>
      <rPr>
        <vertAlign val="subscript"/>
        <sz val="11"/>
        <color theme="1"/>
        <rFont val="Calibri"/>
        <family val="2"/>
        <scheme val="minor"/>
      </rPr>
      <t>m0</t>
    </r>
  </si>
  <si>
    <r>
      <t>C</t>
    </r>
    <r>
      <rPr>
        <vertAlign val="subscript"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</rPr>
      <t xml:space="preserve"> (/deg)</t>
    </r>
  </si>
  <si>
    <r>
      <t>α</t>
    </r>
    <r>
      <rPr>
        <vertAlign val="subscript"/>
        <sz val="11"/>
        <color theme="1"/>
        <rFont val="Calibri"/>
        <family val="2"/>
      </rPr>
      <t>take off</t>
    </r>
    <r>
      <rPr>
        <sz val="11"/>
        <color theme="1"/>
        <rFont val="Calibri"/>
        <family val="2"/>
      </rPr>
      <t xml:space="preserve"> (deg)</t>
    </r>
  </si>
  <si>
    <r>
      <t>C</t>
    </r>
    <r>
      <rPr>
        <vertAlign val="subscript"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</rPr>
      <t xml:space="preserve"> (/rad)</t>
    </r>
  </si>
  <si>
    <t>Chord (in)</t>
  </si>
  <si>
    <t>Thickness (in)</t>
  </si>
  <si>
    <t>NACA0006</t>
  </si>
  <si>
    <t>V</t>
  </si>
  <si>
    <t>L</t>
  </si>
  <si>
    <t>n</t>
  </si>
  <si>
    <t>phi (deg)</t>
  </si>
  <si>
    <t>roh</t>
  </si>
  <si>
    <t>g</t>
  </si>
  <si>
    <t>Cruise Lift</t>
  </si>
  <si>
    <t>Max Lift</t>
  </si>
  <si>
    <t>T</t>
  </si>
  <si>
    <t>SLO (ft)</t>
  </si>
  <si>
    <t>L @ 0.7VLO</t>
  </si>
  <si>
    <t>D @ 0.7VLO</t>
  </si>
  <si>
    <t>S (ft^2)</t>
  </si>
  <si>
    <t>L @ 0.7VT</t>
  </si>
  <si>
    <t>SL (ft)</t>
  </si>
  <si>
    <t>WLO</t>
  </si>
  <si>
    <t>WL</t>
  </si>
  <si>
    <t>R2</t>
  </si>
  <si>
    <t>Rb4</t>
  </si>
  <si>
    <t>Raft</t>
  </si>
  <si>
    <t>Experimental (NACA document)</t>
  </si>
  <si>
    <t>XFOIL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</si>
</sst>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22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7" applyNumberFormat="0" applyAlignment="0" applyProtection="0"/>
    <xf numFmtId="0" fontId="12" fillId="6" borderId="8" applyNumberFormat="0" applyAlignment="0" applyProtection="0"/>
    <xf numFmtId="0" fontId="13" fillId="6" borderId="7" applyNumberFormat="0" applyAlignment="0" applyProtection="0"/>
    <xf numFmtId="0" fontId="14" fillId="0" borderId="9" applyNumberFormat="0" applyFill="0" applyAlignment="0" applyProtection="0"/>
    <xf numFmtId="0" fontId="15" fillId="7" borderId="10" applyNumberFormat="0" applyAlignment="0" applyProtection="0"/>
    <xf numFmtId="0" fontId="16" fillId="0" borderId="0" applyNumberFormat="0" applyFill="0" applyBorder="0" applyAlignment="0" applyProtection="0"/>
    <xf numFmtId="0" fontId="3" fillId="8" borderId="11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 applyBorder="1" applyAlignment="1"/>
    <xf numFmtId="0" fontId="0" fillId="0" borderId="0" xfId="0" applyBorder="1" applyAlignment="1"/>
    <xf numFmtId="0" fontId="0" fillId="0" borderId="1" xfId="0" applyNumberForma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/>
    <xf numFmtId="0" fontId="0" fillId="0" borderId="3" xfId="0" applyNumberFormat="1" applyBorder="1" applyAlignment="1"/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Fill="1" applyBorder="1"/>
    <xf numFmtId="0" fontId="0" fillId="0" borderId="1" xfId="0" applyBorder="1"/>
    <xf numFmtId="0" fontId="0" fillId="0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5" xfId="0" applyFill="1" applyBorder="1"/>
    <xf numFmtId="16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Lift vs Velocity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Cruise Lift</c:v>
          </c:tx>
          <c:marker>
            <c:symbol val="none"/>
          </c:marker>
          <c:xVal>
            <c:numRef>
              <c:f>'Aero Data'!$J$15:$J$32</c:f>
              <c:numCache>
                <c:formatCode>General</c:formatCode>
                <c:ptCount val="1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</c:numCache>
            </c:numRef>
          </c:xVal>
          <c:yVal>
            <c:numRef>
              <c:f>'Aero Data'!$M$15:$M$32</c:f>
              <c:numCache>
                <c:formatCode>0.000</c:formatCode>
                <c:ptCount val="18"/>
                <c:pt idx="0">
                  <c:v>1.0288423673107066</c:v>
                </c:pt>
                <c:pt idx="1">
                  <c:v>1.4815330089274172</c:v>
                </c:pt>
                <c:pt idx="2">
                  <c:v>2.0165310399289846</c:v>
                </c:pt>
                <c:pt idx="3">
                  <c:v>2.6338364603154085</c:v>
                </c:pt>
                <c:pt idx="4">
                  <c:v>3.3334492700866889</c:v>
                </c:pt>
                <c:pt idx="5">
                  <c:v>4.1153694692428262</c:v>
                </c:pt>
                <c:pt idx="6">
                  <c:v>4.9795970577838196</c:v>
                </c:pt>
                <c:pt idx="7">
                  <c:v>5.926132035709669</c:v>
                </c:pt>
                <c:pt idx="8">
                  <c:v>6.9549744030203753</c:v>
                </c:pt>
                <c:pt idx="9">
                  <c:v>8.0661241597159385</c:v>
                </c:pt>
                <c:pt idx="10">
                  <c:v>9.2595813057963579</c:v>
                </c:pt>
                <c:pt idx="11">
                  <c:v>10.535345841261634</c:v>
                </c:pt>
                <c:pt idx="12">
                  <c:v>11.893417766111767</c:v>
                </c:pt>
                <c:pt idx="13">
                  <c:v>13.333797080346756</c:v>
                </c:pt>
                <c:pt idx="14">
                  <c:v>14.856483783966601</c:v>
                </c:pt>
                <c:pt idx="15">
                  <c:v>16.461477876971305</c:v>
                </c:pt>
                <c:pt idx="16">
                  <c:v>18.148779359360862</c:v>
                </c:pt>
                <c:pt idx="17">
                  <c:v>19.918388231135278</c:v>
                </c:pt>
              </c:numCache>
            </c:numRef>
          </c:yVal>
          <c:smooth val="1"/>
        </c:ser>
        <c:ser>
          <c:idx val="1"/>
          <c:order val="1"/>
          <c:tx>
            <c:v>Take Off Lift</c:v>
          </c:tx>
          <c:marker>
            <c:symbol val="none"/>
          </c:marker>
          <c:xVal>
            <c:numRef>
              <c:f>'Aero Data'!$J$15:$J$32</c:f>
              <c:numCache>
                <c:formatCode>General</c:formatCode>
                <c:ptCount val="1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</c:numCache>
            </c:numRef>
          </c:xVal>
          <c:yVal>
            <c:numRef>
              <c:f>'Aero Data'!$O$15:$O$32</c:f>
              <c:numCache>
                <c:formatCode>0.000</c:formatCode>
                <c:ptCount val="18"/>
                <c:pt idx="0">
                  <c:v>2.9370410336839119</c:v>
                </c:pt>
                <c:pt idx="1">
                  <c:v>4.2293390885048332</c:v>
                </c:pt>
                <c:pt idx="2">
                  <c:v>5.7566004260204675</c:v>
                </c:pt>
                <c:pt idx="3">
                  <c:v>7.5188250462308144</c:v>
                </c:pt>
                <c:pt idx="4">
                  <c:v>9.5160129491358756</c:v>
                </c:pt>
                <c:pt idx="5">
                  <c:v>11.748164134735648</c:v>
                </c:pt>
                <c:pt idx="6">
                  <c:v>14.215278603030134</c:v>
                </c:pt>
                <c:pt idx="7">
                  <c:v>16.917356354019333</c:v>
                </c:pt>
                <c:pt idx="8">
                  <c:v>19.854397387703244</c:v>
                </c:pt>
                <c:pt idx="9">
                  <c:v>23.02640170408187</c:v>
                </c:pt>
                <c:pt idx="10">
                  <c:v>26.433369303155207</c:v>
                </c:pt>
                <c:pt idx="11">
                  <c:v>30.075300184923258</c:v>
                </c:pt>
                <c:pt idx="12">
                  <c:v>33.952194349386026</c:v>
                </c:pt>
                <c:pt idx="13">
                  <c:v>38.064051796543502</c:v>
                </c:pt>
                <c:pt idx="14">
                  <c:v>42.410872526395693</c:v>
                </c:pt>
                <c:pt idx="15">
                  <c:v>46.99265653894259</c:v>
                </c:pt>
                <c:pt idx="16">
                  <c:v>51.809403834184209</c:v>
                </c:pt>
                <c:pt idx="17">
                  <c:v>56.861114412120536</c:v>
                </c:pt>
              </c:numCache>
            </c:numRef>
          </c:yVal>
          <c:smooth val="1"/>
        </c:ser>
        <c:axId val="105717120"/>
        <c:axId val="105740160"/>
      </c:scatterChart>
      <c:valAx>
        <c:axId val="105717120"/>
        <c:scaling>
          <c:orientation val="minMax"/>
          <c:max val="115"/>
          <c:min val="2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(ft/s)</a:t>
                </a:r>
              </a:p>
            </c:rich>
          </c:tx>
          <c:layout/>
        </c:title>
        <c:numFmt formatCode="General" sourceLinked="1"/>
        <c:minorTickMark val="cross"/>
        <c:tickLblPos val="nextTo"/>
        <c:crossAx val="105740160"/>
        <c:crosses val="autoZero"/>
        <c:crossBetween val="midCat"/>
        <c:majorUnit val="10"/>
        <c:minorUnit val="5"/>
      </c:valAx>
      <c:valAx>
        <c:axId val="105740160"/>
        <c:scaling>
          <c:orientation val="minMax"/>
          <c:max val="6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Lift (lb)</a:t>
                </a:r>
              </a:p>
            </c:rich>
          </c:tx>
          <c:layout/>
        </c:title>
        <c:numFmt formatCode="0.000" sourceLinked="1"/>
        <c:minorTickMark val="cross"/>
        <c:tickLblPos val="nextTo"/>
        <c:crossAx val="105717120"/>
        <c:crosses val="autoZero"/>
        <c:crossBetween val="midCat"/>
        <c:majorUnit val="10"/>
        <c:minorUnit val="5"/>
      </c:valAx>
    </c:plotArea>
    <c:legend>
      <c:legendPos val="r"/>
      <c:layout>
        <c:manualLayout>
          <c:xMode val="edge"/>
          <c:yMode val="edge"/>
          <c:x val="0.20187489063867017"/>
          <c:y val="0.21720873432487647"/>
          <c:w val="0.17424500685355024"/>
          <c:h val="0.12790743332149881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Drag vs Velocity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Cruise Drag</c:v>
          </c:tx>
          <c:marker>
            <c:symbol val="none"/>
          </c:marker>
          <c:xVal>
            <c:numRef>
              <c:f>'Aero Data'!$J$15:$J$32</c:f>
              <c:numCache>
                <c:formatCode>General</c:formatCode>
                <c:ptCount val="1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</c:numCache>
            </c:numRef>
          </c:xVal>
          <c:yVal>
            <c:numRef>
              <c:f>'Aero Data'!$N$15:$N$32</c:f>
              <c:numCache>
                <c:formatCode>0.000</c:formatCode>
                <c:ptCount val="18"/>
                <c:pt idx="0">
                  <c:v>7.0160997702464603E-2</c:v>
                </c:pt>
                <c:pt idx="1">
                  <c:v>0.10103183669154903</c:v>
                </c:pt>
                <c:pt idx="2">
                  <c:v>0.13751555549683062</c:v>
                </c:pt>
                <c:pt idx="3">
                  <c:v>0.17961215411830939</c:v>
                </c:pt>
                <c:pt idx="4">
                  <c:v>0.22732163255598534</c:v>
                </c:pt>
                <c:pt idx="5">
                  <c:v>0.28064399080985841</c:v>
                </c:pt>
                <c:pt idx="6">
                  <c:v>0.3395792288799287</c:v>
                </c:pt>
                <c:pt idx="7">
                  <c:v>0.4041273467661961</c:v>
                </c:pt>
                <c:pt idx="8">
                  <c:v>0.47428834446866075</c:v>
                </c:pt>
                <c:pt idx="9">
                  <c:v>0.55006222198732246</c:v>
                </c:pt>
                <c:pt idx="10">
                  <c:v>0.63144897932218147</c:v>
                </c:pt>
                <c:pt idx="11">
                  <c:v>0.71844861647323754</c:v>
                </c:pt>
                <c:pt idx="12">
                  <c:v>0.8110611334404908</c:v>
                </c:pt>
                <c:pt idx="13">
                  <c:v>0.90928653022394135</c:v>
                </c:pt>
                <c:pt idx="14">
                  <c:v>1.013124806823589</c:v>
                </c:pt>
                <c:pt idx="15">
                  <c:v>1.1225759632394336</c:v>
                </c:pt>
                <c:pt idx="16">
                  <c:v>1.2376399994714757</c:v>
                </c:pt>
                <c:pt idx="17">
                  <c:v>1.3583169155197148</c:v>
                </c:pt>
              </c:numCache>
            </c:numRef>
          </c:yVal>
          <c:smooth val="1"/>
        </c:ser>
        <c:ser>
          <c:idx val="1"/>
          <c:order val="1"/>
          <c:tx>
            <c:v>Take Off Drag</c:v>
          </c:tx>
          <c:marker>
            <c:symbol val="none"/>
          </c:marker>
          <c:xVal>
            <c:numRef>
              <c:f>'Aero Data'!$J$15:$J$32</c:f>
              <c:numCache>
                <c:formatCode>General</c:formatCode>
                <c:ptCount val="1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</c:numCache>
            </c:numRef>
          </c:xVal>
          <c:yVal>
            <c:numRef>
              <c:f>'Aero Data'!$P$15:$P$32</c:f>
              <c:numCache>
                <c:formatCode>0.000</c:formatCode>
                <c:ptCount val="18"/>
                <c:pt idx="0">
                  <c:v>0.2476618800904761</c:v>
                </c:pt>
                <c:pt idx="1">
                  <c:v>0.35663310733028558</c:v>
                </c:pt>
                <c:pt idx="2">
                  <c:v>0.48541728497733316</c:v>
                </c:pt>
                <c:pt idx="3">
                  <c:v>0.63401441303161887</c:v>
                </c:pt>
                <c:pt idx="4">
                  <c:v>0.80242449149314254</c:v>
                </c:pt>
                <c:pt idx="5">
                  <c:v>0.9906475203619044</c:v>
                </c:pt>
                <c:pt idx="6">
                  <c:v>1.1986834996379043</c:v>
                </c:pt>
                <c:pt idx="7">
                  <c:v>1.4265324293211423</c:v>
                </c:pt>
                <c:pt idx="8">
                  <c:v>1.6741943094116185</c:v>
                </c:pt>
                <c:pt idx="9">
                  <c:v>1.9416691399093327</c:v>
                </c:pt>
                <c:pt idx="10">
                  <c:v>2.228956920814285</c:v>
                </c:pt>
                <c:pt idx="11">
                  <c:v>2.5360576521264755</c:v>
                </c:pt>
                <c:pt idx="12">
                  <c:v>2.8629713338459037</c:v>
                </c:pt>
                <c:pt idx="13">
                  <c:v>3.2096979659725702</c:v>
                </c:pt>
                <c:pt idx="14">
                  <c:v>3.5762375485064748</c:v>
                </c:pt>
                <c:pt idx="15">
                  <c:v>3.9625900814476176</c:v>
                </c:pt>
                <c:pt idx="16">
                  <c:v>4.3687555647959986</c:v>
                </c:pt>
                <c:pt idx="17">
                  <c:v>4.7947339985516173</c:v>
                </c:pt>
              </c:numCache>
            </c:numRef>
          </c:yVal>
          <c:smooth val="1"/>
        </c:ser>
        <c:axId val="105773696"/>
        <c:axId val="106124032"/>
      </c:scatterChart>
      <c:valAx>
        <c:axId val="105773696"/>
        <c:scaling>
          <c:orientation val="minMax"/>
          <c:max val="115"/>
          <c:min val="2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(ft/s)</a:t>
                </a:r>
              </a:p>
            </c:rich>
          </c:tx>
          <c:layout/>
        </c:title>
        <c:numFmt formatCode="General" sourceLinked="1"/>
        <c:minorTickMark val="cross"/>
        <c:tickLblPos val="nextTo"/>
        <c:crossAx val="106124032"/>
        <c:crossesAt val="-1"/>
        <c:crossBetween val="midCat"/>
        <c:majorUnit val="10"/>
        <c:minorUnit val="5"/>
      </c:valAx>
      <c:valAx>
        <c:axId val="106124032"/>
        <c:scaling>
          <c:orientation val="minMax"/>
          <c:max val="6"/>
          <c:min val="-1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Drag (lb)</a:t>
                </a:r>
              </a:p>
            </c:rich>
          </c:tx>
          <c:layout/>
        </c:title>
        <c:numFmt formatCode="0.000" sourceLinked="1"/>
        <c:minorTickMark val="cross"/>
        <c:tickLblPos val="nextTo"/>
        <c:crossAx val="105773696"/>
        <c:crosses val="autoZero"/>
        <c:crossBetween val="midCat"/>
        <c:majorUnit val="1"/>
        <c:minorUnit val="0.5"/>
      </c:valAx>
    </c:plotArea>
    <c:legend>
      <c:legendPos val="r"/>
      <c:layout>
        <c:manualLayout>
          <c:xMode val="edge"/>
          <c:yMode val="edge"/>
          <c:x val="0.18430212697877338"/>
          <c:y val="0.18184172601766954"/>
          <c:w val="0.21378372184531338"/>
          <c:h val="0.14205420608896041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(Ref)'!$J$4:$J$23</c:f>
              <c:numCache>
                <c:formatCode>General</c:formatCode>
                <c:ptCount val="20"/>
                <c:pt idx="3">
                  <c:v>1.0055854189323408</c:v>
                </c:pt>
                <c:pt idx="4">
                  <c:v>0.93484714068980823</c:v>
                </c:pt>
                <c:pt idx="5">
                  <c:v>0.86410886244727558</c:v>
                </c:pt>
                <c:pt idx="6">
                  <c:v>0.79337058420474305</c:v>
                </c:pt>
                <c:pt idx="7">
                  <c:v>0.66450715725933063</c:v>
                </c:pt>
                <c:pt idx="8">
                  <c:v>0.53564373031391821</c:v>
                </c:pt>
                <c:pt idx="9">
                  <c:v>0.40678030336850574</c:v>
                </c:pt>
                <c:pt idx="10">
                  <c:v>0.27791687642309332</c:v>
                </c:pt>
                <c:pt idx="11">
                  <c:v>0.14905344947768093</c:v>
                </c:pt>
                <c:pt idx="12">
                  <c:v>2.0190022532268505E-2</c:v>
                </c:pt>
                <c:pt idx="13">
                  <c:v>-0.10867340441314391</c:v>
                </c:pt>
                <c:pt idx="14">
                  <c:v>-0.23753683135855633</c:v>
                </c:pt>
                <c:pt idx="15">
                  <c:v>-0.36640025830396877</c:v>
                </c:pt>
                <c:pt idx="16">
                  <c:v>-0.49526368524938119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(Ref)'!$I$4:$I$23</c:f>
              <c:numCache>
                <c:formatCode>General</c:formatCode>
                <c:ptCount val="20"/>
                <c:pt idx="3">
                  <c:v>1.5377256017505467</c:v>
                </c:pt>
                <c:pt idx="4">
                  <c:v>1.4500256017505468</c:v>
                </c:pt>
                <c:pt idx="5">
                  <c:v>1.362325601750547</c:v>
                </c:pt>
                <c:pt idx="6">
                  <c:v>1.2746256017505471</c:v>
                </c:pt>
                <c:pt idx="7">
                  <c:v>1.0675942013129103</c:v>
                </c:pt>
                <c:pt idx="8">
                  <c:v>0.86056280087527359</c:v>
                </c:pt>
                <c:pt idx="9">
                  <c:v>0.65353140043763669</c:v>
                </c:pt>
                <c:pt idx="10">
                  <c:v>0.44649999999999995</c:v>
                </c:pt>
                <c:pt idx="11">
                  <c:v>0.23946859956236324</c:v>
                </c:pt>
                <c:pt idx="12">
                  <c:v>3.2437199124726507E-2</c:v>
                </c:pt>
                <c:pt idx="13">
                  <c:v>-0.17459420131291023</c:v>
                </c:pt>
                <c:pt idx="14">
                  <c:v>-0.38162560175054699</c:v>
                </c:pt>
                <c:pt idx="15">
                  <c:v>-0.58865700218818373</c:v>
                </c:pt>
                <c:pt idx="16">
                  <c:v>-0.79568840262582041</c:v>
                </c:pt>
              </c:numCache>
            </c:numRef>
          </c:yVal>
          <c:smooth val="1"/>
        </c:ser>
        <c:axId val="106060416"/>
        <c:axId val="106066304"/>
      </c:scatterChart>
      <c:valAx>
        <c:axId val="106060416"/>
        <c:scaling>
          <c:orientation val="minMax"/>
        </c:scaling>
        <c:axPos val="b"/>
        <c:numFmt formatCode="General" sourceLinked="1"/>
        <c:tickLblPos val="nextTo"/>
        <c:crossAx val="106066304"/>
        <c:crosses val="autoZero"/>
        <c:crossBetween val="midCat"/>
      </c:valAx>
      <c:valAx>
        <c:axId val="106066304"/>
        <c:scaling>
          <c:orientation val="minMax"/>
        </c:scaling>
        <c:axPos val="l"/>
        <c:majorGridlines/>
        <c:numFmt formatCode="General" sourceLinked="1"/>
        <c:tickLblPos val="nextTo"/>
        <c:crossAx val="106060416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(Ref)'!$K$4:$K$23</c:f>
              <c:numCache>
                <c:formatCode>General</c:formatCode>
                <c:ptCount val="20"/>
                <c:pt idx="3">
                  <c:v>0.10563604437437683</c:v>
                </c:pt>
                <c:pt idx="4">
                  <c:v>9.0517539751060971E-2</c:v>
                </c:pt>
                <c:pt idx="5">
                  <c:v>7.8031480168396297E-2</c:v>
                </c:pt>
                <c:pt idx="6">
                  <c:v>6.6899865626382768E-2</c:v>
                </c:pt>
                <c:pt idx="7">
                  <c:v>5.0173929532335536E-2</c:v>
                </c:pt>
                <c:pt idx="8">
                  <c:v>3.651402260303914E-2</c:v>
                </c:pt>
                <c:pt idx="9">
                  <c:v>2.5080144838493596E-2</c:v>
                </c:pt>
                <c:pt idx="10">
                  <c:v>1.8952296238698915E-2</c:v>
                </c:pt>
                <c:pt idx="11">
                  <c:v>1.5230476803655085E-2</c:v>
                </c:pt>
                <c:pt idx="12">
                  <c:v>1.434468653336211E-2</c:v>
                </c:pt>
                <c:pt idx="13">
                  <c:v>1.7004925427819992E-2</c:v>
                </c:pt>
                <c:pt idx="14">
                  <c:v>2.2901193487028723E-2</c:v>
                </c:pt>
                <c:pt idx="15">
                  <c:v>3.2623490710988308E-2</c:v>
                </c:pt>
                <c:pt idx="16">
                  <c:v>4.1671817099698749E-2</c:v>
                </c:pt>
              </c:numCache>
            </c:numRef>
          </c:yVal>
          <c:smooth val="1"/>
        </c:ser>
        <c:axId val="106169088"/>
        <c:axId val="106170624"/>
      </c:scatterChart>
      <c:valAx>
        <c:axId val="106169088"/>
        <c:scaling>
          <c:orientation val="minMax"/>
        </c:scaling>
        <c:axPos val="b"/>
        <c:numFmt formatCode="General" sourceLinked="1"/>
        <c:tickLblPos val="nextTo"/>
        <c:crossAx val="106170624"/>
        <c:crosses val="autoZero"/>
        <c:crossBetween val="midCat"/>
      </c:valAx>
      <c:valAx>
        <c:axId val="106170624"/>
        <c:scaling>
          <c:orientation val="minMax"/>
        </c:scaling>
        <c:axPos val="l"/>
        <c:majorGridlines/>
        <c:numFmt formatCode="General" sourceLinked="1"/>
        <c:tickLblPos val="nextTo"/>
        <c:crossAx val="106169088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955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425E-2"/>
          <c:w val="0.87469230788477803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Chract. (Ref)'!$K$7:$K$20</c:f>
              <c:numCache>
                <c:formatCode>General</c:formatCode>
                <c:ptCount val="14"/>
                <c:pt idx="0">
                  <c:v>0.10563604437437683</c:v>
                </c:pt>
                <c:pt idx="1">
                  <c:v>9.0517539751060971E-2</c:v>
                </c:pt>
                <c:pt idx="2">
                  <c:v>7.8031480168396297E-2</c:v>
                </c:pt>
                <c:pt idx="3">
                  <c:v>6.6899865626382768E-2</c:v>
                </c:pt>
                <c:pt idx="4">
                  <c:v>5.0173929532335536E-2</c:v>
                </c:pt>
                <c:pt idx="5">
                  <c:v>3.651402260303914E-2</c:v>
                </c:pt>
                <c:pt idx="6">
                  <c:v>2.5080144838493596E-2</c:v>
                </c:pt>
                <c:pt idx="7">
                  <c:v>1.8952296238698915E-2</c:v>
                </c:pt>
                <c:pt idx="8">
                  <c:v>1.5230476803655085E-2</c:v>
                </c:pt>
                <c:pt idx="9">
                  <c:v>1.434468653336211E-2</c:v>
                </c:pt>
                <c:pt idx="10">
                  <c:v>1.7004925427819992E-2</c:v>
                </c:pt>
                <c:pt idx="11">
                  <c:v>2.2901193487028723E-2</c:v>
                </c:pt>
                <c:pt idx="12">
                  <c:v>3.2623490710988308E-2</c:v>
                </c:pt>
                <c:pt idx="13">
                  <c:v>4.1671817099698749E-2</c:v>
                </c:pt>
              </c:numCache>
            </c:numRef>
          </c:xVal>
          <c:yVal>
            <c:numRef>
              <c:f>'Wing Chract. (Ref)'!$J$7:$J$20</c:f>
              <c:numCache>
                <c:formatCode>General</c:formatCode>
                <c:ptCount val="14"/>
                <c:pt idx="0">
                  <c:v>1.0055854189323408</c:v>
                </c:pt>
                <c:pt idx="1">
                  <c:v>0.93484714068980823</c:v>
                </c:pt>
                <c:pt idx="2">
                  <c:v>0.86410886244727558</c:v>
                </c:pt>
                <c:pt idx="3">
                  <c:v>0.79337058420474305</c:v>
                </c:pt>
                <c:pt idx="4">
                  <c:v>0.66450715725933063</c:v>
                </c:pt>
                <c:pt idx="5">
                  <c:v>0.53564373031391821</c:v>
                </c:pt>
                <c:pt idx="6">
                  <c:v>0.40678030336850574</c:v>
                </c:pt>
                <c:pt idx="7">
                  <c:v>0.27791687642309332</c:v>
                </c:pt>
                <c:pt idx="8">
                  <c:v>0.14905344947768093</c:v>
                </c:pt>
                <c:pt idx="9">
                  <c:v>2.0190022532268505E-2</c:v>
                </c:pt>
                <c:pt idx="10">
                  <c:v>-0.10867340441314391</c:v>
                </c:pt>
                <c:pt idx="11">
                  <c:v>-0.23753683135855633</c:v>
                </c:pt>
                <c:pt idx="12">
                  <c:v>-0.36640025830396877</c:v>
                </c:pt>
                <c:pt idx="13">
                  <c:v>-0.49526368524938119</c:v>
                </c:pt>
              </c:numCache>
            </c:numRef>
          </c:yVal>
          <c:smooth val="1"/>
        </c:ser>
        <c:axId val="106183296"/>
        <c:axId val="106217856"/>
      </c:scatterChart>
      <c:valAx>
        <c:axId val="106183296"/>
        <c:scaling>
          <c:orientation val="minMax"/>
        </c:scaling>
        <c:axPos val="b"/>
        <c:numFmt formatCode="General" sourceLinked="1"/>
        <c:tickLblPos val="nextTo"/>
        <c:crossAx val="106217856"/>
        <c:crosses val="autoZero"/>
        <c:crossBetween val="midCat"/>
      </c:valAx>
      <c:valAx>
        <c:axId val="106217856"/>
        <c:scaling>
          <c:orientation val="minMax"/>
        </c:scaling>
        <c:axPos val="l"/>
        <c:majorGridlines/>
        <c:numFmt formatCode="General" sourceLinked="1"/>
        <c:tickLblPos val="nextTo"/>
        <c:crossAx val="1061832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(Ref)'!$M$4:$M$23</c:f>
              <c:numCache>
                <c:formatCode>General</c:formatCode>
                <c:ptCount val="20"/>
                <c:pt idx="0">
                  <c:v>12.669228753602935</c:v>
                </c:pt>
                <c:pt idx="1">
                  <c:v>16.903640748822788</c:v>
                </c:pt>
                <c:pt idx="2">
                  <c:v>25.578680203045685</c:v>
                </c:pt>
                <c:pt idx="3">
                  <c:v>40.450450450450447</c:v>
                </c:pt>
                <c:pt idx="4">
                  <c:v>57.819169577027552</c:v>
                </c:pt>
                <c:pt idx="5">
                  <c:v>69.662195727769515</c:v>
                </c:pt>
                <c:pt idx="6">
                  <c:v>73.106407322654462</c:v>
                </c:pt>
                <c:pt idx="7">
                  <c:v>71.381748071979445</c:v>
                </c:pt>
                <c:pt idx="8">
                  <c:v>67.407675597393194</c:v>
                </c:pt>
                <c:pt idx="9">
                  <c:v>56.096979332273456</c:v>
                </c:pt>
                <c:pt idx="10">
                  <c:v>38.524590163934427</c:v>
                </c:pt>
                <c:pt idx="11">
                  <c:v>19.342723004694836</c:v>
                </c:pt>
                <c:pt idx="12">
                  <c:v>2.3429781227946367</c:v>
                </c:pt>
                <c:pt idx="13">
                  <c:v>-10.66865671641791</c:v>
                </c:pt>
                <c:pt idx="14">
                  <c:v>-19.523355576739753</c:v>
                </c:pt>
                <c:pt idx="15">
                  <c:v>-24.437568256279576</c:v>
                </c:pt>
                <c:pt idx="16">
                  <c:v>-23.554313099041533</c:v>
                </c:pt>
                <c:pt idx="17">
                  <c:v>-14.928492849284929</c:v>
                </c:pt>
                <c:pt idx="18">
                  <c:v>-1.4014798234160293</c:v>
                </c:pt>
                <c:pt idx="19">
                  <c:v>-1.2820661974288872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(Ref)'!$N$4:$N$23</c:f>
              <c:numCache>
                <c:formatCode>General</c:formatCode>
                <c:ptCount val="20"/>
                <c:pt idx="3">
                  <c:v>9.5193399647616523</c:v>
                </c:pt>
                <c:pt idx="4">
                  <c:v>10.327801034592865</c:v>
                </c:pt>
                <c:pt idx="5">
                  <c:v>11.073849433363053</c:v>
                </c:pt>
                <c:pt idx="6">
                  <c:v>11.859075900622853</c:v>
                </c:pt>
                <c:pt idx="7">
                  <c:v>13.244072438677071</c:v>
                </c:pt>
                <c:pt idx="8">
                  <c:v>14.669534938320805</c:v>
                </c:pt>
                <c:pt idx="9">
                  <c:v>16.219216674704754</c:v>
                </c:pt>
                <c:pt idx="10">
                  <c:v>14.664021336665876</c:v>
                </c:pt>
                <c:pt idx="11">
                  <c:v>9.786525490909801</c:v>
                </c:pt>
                <c:pt idx="12">
                  <c:v>1.4074913721754478</c:v>
                </c:pt>
                <c:pt idx="13">
                  <c:v>-6.3907016160949839</c:v>
                </c:pt>
                <c:pt idx="14">
                  <c:v>-10.372246821681918</c:v>
                </c:pt>
                <c:pt idx="15">
                  <c:v>-11.23117883214616</c:v>
                </c:pt>
                <c:pt idx="16">
                  <c:v>-11.884859353852402</c:v>
                </c:pt>
              </c:numCache>
            </c:numRef>
          </c:yVal>
          <c:smooth val="1"/>
        </c:ser>
        <c:axId val="106242816"/>
        <c:axId val="106244352"/>
      </c:scatterChart>
      <c:valAx>
        <c:axId val="106242816"/>
        <c:scaling>
          <c:orientation val="minMax"/>
        </c:scaling>
        <c:axPos val="b"/>
        <c:numFmt formatCode="General" sourceLinked="1"/>
        <c:tickLblPos val="nextTo"/>
        <c:crossAx val="106244352"/>
        <c:crosses val="autoZero"/>
        <c:crossBetween val="midCat"/>
      </c:valAx>
      <c:valAx>
        <c:axId val="106244352"/>
        <c:scaling>
          <c:orientation val="minMax"/>
        </c:scaling>
        <c:axPos val="l"/>
        <c:majorGridlines/>
        <c:numFmt formatCode="General" sourceLinked="1"/>
        <c:tickLblPos val="nextTo"/>
        <c:crossAx val="1062428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903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(Ref)'!$E$4:$E$23</c:f>
              <c:numCache>
                <c:formatCode>General</c:formatCode>
                <c:ptCount val="20"/>
                <c:pt idx="0">
                  <c:v>-3.5799999999999998E-2</c:v>
                </c:pt>
                <c:pt idx="1">
                  <c:v>-3.09E-2</c:v>
                </c:pt>
                <c:pt idx="2">
                  <c:v>-3.0800000000000001E-2</c:v>
                </c:pt>
                <c:pt idx="3">
                  <c:v>-3.7900000000000003E-2</c:v>
                </c:pt>
                <c:pt idx="4">
                  <c:v>-5.1999999999999998E-2</c:v>
                </c:pt>
                <c:pt idx="5">
                  <c:v>-6.8599999999999994E-2</c:v>
                </c:pt>
                <c:pt idx="6">
                  <c:v>-8.4699999999999998E-2</c:v>
                </c:pt>
                <c:pt idx="7">
                  <c:v>-9.4600000000000004E-2</c:v>
                </c:pt>
                <c:pt idx="8">
                  <c:v>-0.1026</c:v>
                </c:pt>
                <c:pt idx="9">
                  <c:v>-0.10050000000000001</c:v>
                </c:pt>
                <c:pt idx="10">
                  <c:v>-9.6199999999999994E-2</c:v>
                </c:pt>
                <c:pt idx="11">
                  <c:v>-0.1019</c:v>
                </c:pt>
                <c:pt idx="12">
                  <c:v>-0.10489999999999999</c:v>
                </c:pt>
                <c:pt idx="13">
                  <c:v>-0.1081</c:v>
                </c:pt>
                <c:pt idx="14">
                  <c:v>-0.10730000000000001</c:v>
                </c:pt>
                <c:pt idx="15">
                  <c:v>-9.7299999999999998E-2</c:v>
                </c:pt>
                <c:pt idx="16">
                  <c:v>-8.8499999999999995E-2</c:v>
                </c:pt>
                <c:pt idx="17">
                  <c:v>-9.8699999999999996E-2</c:v>
                </c:pt>
                <c:pt idx="18">
                  <c:v>-4.1399999999999999E-2</c:v>
                </c:pt>
                <c:pt idx="19">
                  <c:v>-4.2200000000000001E-2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axId val="106264448"/>
        <c:axId val="106265984"/>
      </c:scatterChart>
      <c:valAx>
        <c:axId val="106264448"/>
        <c:scaling>
          <c:orientation val="minMax"/>
        </c:scaling>
        <c:axPos val="b"/>
        <c:numFmt formatCode="General" sourceLinked="1"/>
        <c:tickLblPos val="nextTo"/>
        <c:crossAx val="106265984"/>
        <c:crosses val="autoZero"/>
        <c:crossBetween val="midCat"/>
      </c:valAx>
      <c:valAx>
        <c:axId val="106265984"/>
        <c:scaling>
          <c:orientation val="minMax"/>
        </c:scaling>
        <c:axPos val="l"/>
        <c:majorGridlines/>
        <c:numFmt formatCode="General" sourceLinked="1"/>
        <c:tickLblPos val="nextTo"/>
        <c:crossAx val="106264448"/>
        <c:crosses val="autoZero"/>
        <c:crossBetween val="midCat"/>
      </c:valAx>
    </c:plotArea>
    <c:legend>
      <c:legendPos val="l"/>
      <c:layout/>
    </c:legend>
    <c:plotVisOnly val="1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(Ref)'!$O$4:$O$23</c:f>
              <c:numCache>
                <c:formatCode>General</c:formatCode>
                <c:ptCount val="20"/>
                <c:pt idx="0">
                  <c:v>7.8931402964494995E-2</c:v>
                </c:pt>
                <c:pt idx="1">
                  <c:v>5.9158853105041438E-2</c:v>
                </c:pt>
                <c:pt idx="2">
                  <c:v>3.9095058543361781E-2</c:v>
                </c:pt>
                <c:pt idx="3">
                  <c:v>2.472160356347439E-2</c:v>
                </c:pt>
                <c:pt idx="4">
                  <c:v>1.729530201342282E-2</c:v>
                </c:pt>
                <c:pt idx="5">
                  <c:v>1.4354988233616198E-2</c:v>
                </c:pt>
                <c:pt idx="6">
                  <c:v>1.3678691603411848E-2</c:v>
                </c:pt>
                <c:pt idx="7">
                  <c:v>1.4009183397857205E-2</c:v>
                </c:pt>
                <c:pt idx="8">
                  <c:v>1.4835105811580191E-2</c:v>
                </c:pt>
                <c:pt idx="9">
                  <c:v>1.7826271786878276E-2</c:v>
                </c:pt>
                <c:pt idx="10">
                  <c:v>2.5957446808510639E-2</c:v>
                </c:pt>
                <c:pt idx="11">
                  <c:v>5.1699029126213589E-2</c:v>
                </c:pt>
                <c:pt idx="12">
                  <c:v>0.42680722891566264</c:v>
                </c:pt>
                <c:pt idx="13">
                  <c:v>-9.3732512590934527E-2</c:v>
                </c:pt>
                <c:pt idx="14">
                  <c:v>-5.1220703124999996E-2</c:v>
                </c:pt>
                <c:pt idx="15">
                  <c:v>-4.0920601817369284E-2</c:v>
                </c:pt>
                <c:pt idx="16">
                  <c:v>-4.2455069515089865E-2</c:v>
                </c:pt>
                <c:pt idx="17">
                  <c:v>-6.6985998526160648E-2</c:v>
                </c:pt>
                <c:pt idx="18">
                  <c:v>-0.71353149955634432</c:v>
                </c:pt>
                <c:pt idx="19">
                  <c:v>-0.77999092558983674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(Ref)'!$P$4:$P$23</c:f>
              <c:numCache>
                <c:formatCode>General</c:formatCode>
                <c:ptCount val="20"/>
                <c:pt idx="3">
                  <c:v>0.10504930002518702</c:v>
                </c:pt>
                <c:pt idx="4">
                  <c:v>9.6826032632746334E-2</c:v>
                </c:pt>
                <c:pt idx="5">
                  <c:v>9.030283516292191E-2</c:v>
                </c:pt>
                <c:pt idx="6">
                  <c:v>8.43236023093063E-2</c:v>
                </c:pt>
                <c:pt idx="7">
                  <c:v>7.5505476478644848E-2</c:v>
                </c:pt>
                <c:pt idx="8">
                  <c:v>6.8168486881457213E-2</c:v>
                </c:pt>
                <c:pt idx="9">
                  <c:v>6.1655258700599576E-2</c:v>
                </c:pt>
                <c:pt idx="10">
                  <c:v>6.819411790540722E-2</c:v>
                </c:pt>
                <c:pt idx="11">
                  <c:v>0.10218131050993005</c:v>
                </c:pt>
                <c:pt idx="12">
                  <c:v>0.71048392890279621</c:v>
                </c:pt>
                <c:pt idx="13">
                  <c:v>-0.15647734162419658</c:v>
                </c:pt>
                <c:pt idx="14">
                  <c:v>-9.6411126460047389E-2</c:v>
                </c:pt>
                <c:pt idx="15">
                  <c:v>-8.9037848559384972E-2</c:v>
                </c:pt>
                <c:pt idx="16">
                  <c:v>-8.4140667569267982E-2</c:v>
                </c:pt>
              </c:numCache>
            </c:numRef>
          </c:yVal>
          <c:smooth val="1"/>
        </c:ser>
        <c:axId val="106372480"/>
        <c:axId val="106382464"/>
      </c:scatterChart>
      <c:valAx>
        <c:axId val="106372480"/>
        <c:scaling>
          <c:orientation val="minMax"/>
        </c:scaling>
        <c:axPos val="b"/>
        <c:numFmt formatCode="General" sourceLinked="1"/>
        <c:tickLblPos val="nextTo"/>
        <c:crossAx val="106382464"/>
        <c:crosses val="autoZero"/>
        <c:crossBetween val="midCat"/>
      </c:valAx>
      <c:valAx>
        <c:axId val="106382464"/>
        <c:scaling>
          <c:orientation val="minMax"/>
        </c:scaling>
        <c:axPos val="l"/>
        <c:majorGridlines/>
        <c:numFmt formatCode="General" sourceLinked="1"/>
        <c:tickLblPos val="nextTo"/>
        <c:crossAx val="106372480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Mid.'!$P$4:$P$23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Mid.'!$R$4:$R$23</c:f>
              <c:numCache>
                <c:formatCode>General</c:formatCode>
                <c:ptCount val="20"/>
                <c:pt idx="3">
                  <c:v>1.1919598529550668</c:v>
                </c:pt>
                <c:pt idx="4">
                  <c:v>1.1144527233277217</c:v>
                </c:pt>
                <c:pt idx="5">
                  <c:v>1.0369455937003769</c:v>
                </c:pt>
                <c:pt idx="6">
                  <c:v>0.9594384640730319</c:v>
                </c:pt>
                <c:pt idx="7">
                  <c:v>0.80360141782354899</c:v>
                </c:pt>
                <c:pt idx="8">
                  <c:v>0.64776437157406608</c:v>
                </c:pt>
                <c:pt idx="9">
                  <c:v>0.49192732532458305</c:v>
                </c:pt>
                <c:pt idx="10">
                  <c:v>0.33609027907510008</c:v>
                </c:pt>
                <c:pt idx="11">
                  <c:v>0.18025323282561714</c:v>
                </c:pt>
                <c:pt idx="12">
                  <c:v>2.4416186576134209E-2</c:v>
                </c:pt>
                <c:pt idx="13">
                  <c:v>-0.13142085967334874</c:v>
                </c:pt>
                <c:pt idx="14">
                  <c:v>-0.28725790592283168</c:v>
                </c:pt>
                <c:pt idx="15">
                  <c:v>-0.44309495217231459</c:v>
                </c:pt>
                <c:pt idx="16">
                  <c:v>-0.59893199842179756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'Wing Mid.'!$P$4:$P$23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Mid.'!$Q$4:$Q$23</c:f>
              <c:numCache>
                <c:formatCode>General</c:formatCode>
                <c:ptCount val="20"/>
                <c:pt idx="3">
                  <c:v>1.5377256017505467</c:v>
                </c:pt>
                <c:pt idx="4">
                  <c:v>1.4500256017505468</c:v>
                </c:pt>
                <c:pt idx="5">
                  <c:v>1.362325601750547</c:v>
                </c:pt>
                <c:pt idx="6">
                  <c:v>1.2746256017505471</c:v>
                </c:pt>
                <c:pt idx="7">
                  <c:v>1.0675942013129103</c:v>
                </c:pt>
                <c:pt idx="8">
                  <c:v>0.86056280087527359</c:v>
                </c:pt>
                <c:pt idx="9">
                  <c:v>0.65353140043763669</c:v>
                </c:pt>
                <c:pt idx="10">
                  <c:v>0.44649999999999995</c:v>
                </c:pt>
                <c:pt idx="11">
                  <c:v>0.23946859956236324</c:v>
                </c:pt>
                <c:pt idx="12">
                  <c:v>3.2437199124726507E-2</c:v>
                </c:pt>
                <c:pt idx="13">
                  <c:v>-0.17459420131291023</c:v>
                </c:pt>
                <c:pt idx="14">
                  <c:v>-0.38162560175054699</c:v>
                </c:pt>
                <c:pt idx="15">
                  <c:v>-0.58865700218818373</c:v>
                </c:pt>
                <c:pt idx="16">
                  <c:v>-0.79568840262582041</c:v>
                </c:pt>
              </c:numCache>
            </c:numRef>
          </c:yVal>
          <c:smooth val="1"/>
        </c:ser>
        <c:axId val="106334848"/>
        <c:axId val="106439040"/>
      </c:scatterChart>
      <c:valAx>
        <c:axId val="106334848"/>
        <c:scaling>
          <c:orientation val="minMax"/>
        </c:scaling>
        <c:axPos val="b"/>
        <c:numFmt formatCode="General" sourceLinked="1"/>
        <c:tickLblPos val="nextTo"/>
        <c:crossAx val="106439040"/>
        <c:crosses val="autoZero"/>
        <c:crossBetween val="midCat"/>
      </c:valAx>
      <c:valAx>
        <c:axId val="106439040"/>
        <c:scaling>
          <c:orientation val="minMax"/>
        </c:scaling>
        <c:axPos val="l"/>
        <c:majorGridlines/>
        <c:numFmt formatCode="General" sourceLinked="1"/>
        <c:tickLblPos val="nextTo"/>
        <c:crossAx val="106334848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Mid.'!$P$4:$P$23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Mid.'!$S$4:$S$23</c:f>
              <c:numCache>
                <c:formatCode>General</c:formatCode>
                <c:ptCount val="20"/>
                <c:pt idx="10">
                  <c:v>1.8952296238698915E-2</c:v>
                </c:pt>
              </c:numCache>
            </c:numRef>
          </c:yVal>
          <c:smooth val="1"/>
        </c:ser>
        <c:axId val="106464000"/>
        <c:axId val="106465536"/>
      </c:scatterChart>
      <c:valAx>
        <c:axId val="106464000"/>
        <c:scaling>
          <c:orientation val="minMax"/>
        </c:scaling>
        <c:axPos val="b"/>
        <c:numFmt formatCode="General" sourceLinked="1"/>
        <c:tickLblPos val="nextTo"/>
        <c:crossAx val="106465536"/>
        <c:crosses val="autoZero"/>
        <c:crossBetween val="midCat"/>
      </c:valAx>
      <c:valAx>
        <c:axId val="106465536"/>
        <c:scaling>
          <c:orientation val="minMax"/>
        </c:scaling>
        <c:axPos val="l"/>
        <c:majorGridlines/>
        <c:numFmt formatCode="General" sourceLinked="1"/>
        <c:tickLblPos val="nextTo"/>
        <c:crossAx val="106464000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977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443E-2"/>
          <c:w val="0.87469230788477825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Mid.'!$S$4:$S$23</c:f>
              <c:numCache>
                <c:formatCode>General</c:formatCode>
                <c:ptCount val="20"/>
                <c:pt idx="10">
                  <c:v>1.8952296238698915E-2</c:v>
                </c:pt>
              </c:numCache>
            </c:numRef>
          </c:xVal>
          <c:yVal>
            <c:numRef>
              <c:f>'Wing Mid.'!$R$4:$R$23</c:f>
              <c:numCache>
                <c:formatCode>General</c:formatCode>
                <c:ptCount val="20"/>
                <c:pt idx="3">
                  <c:v>1.1919598529550668</c:v>
                </c:pt>
                <c:pt idx="4">
                  <c:v>1.1144527233277217</c:v>
                </c:pt>
                <c:pt idx="5">
                  <c:v>1.0369455937003769</c:v>
                </c:pt>
                <c:pt idx="6">
                  <c:v>0.9594384640730319</c:v>
                </c:pt>
                <c:pt idx="7">
                  <c:v>0.80360141782354899</c:v>
                </c:pt>
                <c:pt idx="8">
                  <c:v>0.64776437157406608</c:v>
                </c:pt>
                <c:pt idx="9">
                  <c:v>0.49192732532458305</c:v>
                </c:pt>
                <c:pt idx="10">
                  <c:v>0.33609027907510008</c:v>
                </c:pt>
                <c:pt idx="11">
                  <c:v>0.18025323282561714</c:v>
                </c:pt>
                <c:pt idx="12">
                  <c:v>2.4416186576134209E-2</c:v>
                </c:pt>
                <c:pt idx="13">
                  <c:v>-0.13142085967334874</c:v>
                </c:pt>
                <c:pt idx="14">
                  <c:v>-0.28725790592283168</c:v>
                </c:pt>
                <c:pt idx="15">
                  <c:v>-0.44309495217231459</c:v>
                </c:pt>
                <c:pt idx="16">
                  <c:v>-0.59893199842179756</c:v>
                </c:pt>
              </c:numCache>
            </c:numRef>
          </c:yVal>
          <c:smooth val="1"/>
        </c:ser>
        <c:axId val="106502784"/>
        <c:axId val="106512768"/>
      </c:scatterChart>
      <c:valAx>
        <c:axId val="106502784"/>
        <c:scaling>
          <c:orientation val="minMax"/>
        </c:scaling>
        <c:axPos val="b"/>
        <c:numFmt formatCode="General" sourceLinked="1"/>
        <c:tickLblPos val="nextTo"/>
        <c:crossAx val="106512768"/>
        <c:crosses val="autoZero"/>
        <c:crossBetween val="midCat"/>
      </c:valAx>
      <c:valAx>
        <c:axId val="106512768"/>
        <c:scaling>
          <c:orientation val="minMax"/>
        </c:scaling>
        <c:axPos val="l"/>
        <c:majorGridlines/>
        <c:numFmt formatCode="General" sourceLinked="1"/>
        <c:tickLblPos val="nextTo"/>
        <c:crossAx val="1065027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(Ref)'!$M$4:$M$23</c:f>
              <c:numCache>
                <c:formatCode>General</c:formatCode>
                <c:ptCount val="20"/>
                <c:pt idx="0">
                  <c:v>12.669228753602935</c:v>
                </c:pt>
                <c:pt idx="1">
                  <c:v>16.903640748822788</c:v>
                </c:pt>
                <c:pt idx="2">
                  <c:v>25.578680203045685</c:v>
                </c:pt>
                <c:pt idx="3">
                  <c:v>40.450450450450447</c:v>
                </c:pt>
                <c:pt idx="4">
                  <c:v>57.819169577027552</c:v>
                </c:pt>
                <c:pt idx="5">
                  <c:v>69.662195727769515</c:v>
                </c:pt>
                <c:pt idx="6">
                  <c:v>73.106407322654462</c:v>
                </c:pt>
                <c:pt idx="7">
                  <c:v>71.381748071979445</c:v>
                </c:pt>
                <c:pt idx="8">
                  <c:v>67.407675597393194</c:v>
                </c:pt>
                <c:pt idx="9">
                  <c:v>56.096979332273456</c:v>
                </c:pt>
                <c:pt idx="10">
                  <c:v>38.524590163934427</c:v>
                </c:pt>
                <c:pt idx="11">
                  <c:v>19.342723004694836</c:v>
                </c:pt>
                <c:pt idx="12">
                  <c:v>2.3429781227946367</c:v>
                </c:pt>
                <c:pt idx="13">
                  <c:v>-10.66865671641791</c:v>
                </c:pt>
                <c:pt idx="14">
                  <c:v>-19.523355576739753</c:v>
                </c:pt>
                <c:pt idx="15">
                  <c:v>-24.437568256279576</c:v>
                </c:pt>
                <c:pt idx="16">
                  <c:v>-23.554313099041533</c:v>
                </c:pt>
                <c:pt idx="17">
                  <c:v>-14.928492849284929</c:v>
                </c:pt>
                <c:pt idx="18">
                  <c:v>-1.4014798234160293</c:v>
                </c:pt>
                <c:pt idx="19">
                  <c:v>-1.2820661974288872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'Wing Mid.'!$P$4:$P$23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Mid.'!$U$4:$U$23</c:f>
              <c:numCache>
                <c:formatCode>General</c:formatCode>
                <c:ptCount val="20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17.733485950311046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106545920"/>
        <c:axId val="106547456"/>
      </c:scatterChart>
      <c:valAx>
        <c:axId val="106545920"/>
        <c:scaling>
          <c:orientation val="minMax"/>
        </c:scaling>
        <c:axPos val="b"/>
        <c:numFmt formatCode="General" sourceLinked="1"/>
        <c:tickLblPos val="nextTo"/>
        <c:crossAx val="106547456"/>
        <c:crosses val="autoZero"/>
        <c:crossBetween val="midCat"/>
      </c:valAx>
      <c:valAx>
        <c:axId val="106547456"/>
        <c:scaling>
          <c:orientation val="minMax"/>
        </c:scaling>
        <c:axPos val="l"/>
        <c:majorGridlines/>
        <c:numFmt formatCode="General" sourceLinked="1"/>
        <c:tickLblPos val="nextTo"/>
        <c:crossAx val="1065459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903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(Ref)'!$E$4:$E$23</c:f>
              <c:numCache>
                <c:formatCode>General</c:formatCode>
                <c:ptCount val="20"/>
                <c:pt idx="0">
                  <c:v>-3.5799999999999998E-2</c:v>
                </c:pt>
                <c:pt idx="1">
                  <c:v>-3.09E-2</c:v>
                </c:pt>
                <c:pt idx="2">
                  <c:v>-3.0800000000000001E-2</c:v>
                </c:pt>
                <c:pt idx="3">
                  <c:v>-3.7900000000000003E-2</c:v>
                </c:pt>
                <c:pt idx="4">
                  <c:v>-5.1999999999999998E-2</c:v>
                </c:pt>
                <c:pt idx="5">
                  <c:v>-6.8599999999999994E-2</c:v>
                </c:pt>
                <c:pt idx="6">
                  <c:v>-8.4699999999999998E-2</c:v>
                </c:pt>
                <c:pt idx="7">
                  <c:v>-9.4600000000000004E-2</c:v>
                </c:pt>
                <c:pt idx="8">
                  <c:v>-0.1026</c:v>
                </c:pt>
                <c:pt idx="9">
                  <c:v>-0.10050000000000001</c:v>
                </c:pt>
                <c:pt idx="10">
                  <c:v>-9.6199999999999994E-2</c:v>
                </c:pt>
                <c:pt idx="11">
                  <c:v>-0.1019</c:v>
                </c:pt>
                <c:pt idx="12">
                  <c:v>-0.10489999999999999</c:v>
                </c:pt>
                <c:pt idx="13">
                  <c:v>-0.1081</c:v>
                </c:pt>
                <c:pt idx="14">
                  <c:v>-0.10730000000000001</c:v>
                </c:pt>
                <c:pt idx="15">
                  <c:v>-9.7299999999999998E-2</c:v>
                </c:pt>
                <c:pt idx="16">
                  <c:v>-8.8499999999999995E-2</c:v>
                </c:pt>
                <c:pt idx="17">
                  <c:v>-9.8699999999999996E-2</c:v>
                </c:pt>
                <c:pt idx="18">
                  <c:v>-4.1399999999999999E-2</c:v>
                </c:pt>
                <c:pt idx="19">
                  <c:v>-4.2200000000000001E-2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axId val="106567552"/>
        <c:axId val="106569088"/>
      </c:scatterChart>
      <c:valAx>
        <c:axId val="106567552"/>
        <c:scaling>
          <c:orientation val="minMax"/>
        </c:scaling>
        <c:axPos val="b"/>
        <c:numFmt formatCode="General" sourceLinked="1"/>
        <c:tickLblPos val="nextTo"/>
        <c:crossAx val="106569088"/>
        <c:crosses val="autoZero"/>
        <c:crossBetween val="midCat"/>
      </c:valAx>
      <c:valAx>
        <c:axId val="106569088"/>
        <c:scaling>
          <c:orientation val="minMax"/>
        </c:scaling>
        <c:axPos val="l"/>
        <c:majorGridlines/>
        <c:numFmt formatCode="General" sourceLinked="1"/>
        <c:tickLblPos val="nextTo"/>
        <c:crossAx val="106567552"/>
        <c:crosses val="autoZero"/>
        <c:crossBetween val="midCat"/>
      </c:valAx>
    </c:plotArea>
    <c:legend>
      <c:legendPos val="l"/>
      <c:layout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(Ref)'!$O$4:$O$23</c:f>
              <c:numCache>
                <c:formatCode>General</c:formatCode>
                <c:ptCount val="20"/>
                <c:pt idx="0">
                  <c:v>7.8931402964494995E-2</c:v>
                </c:pt>
                <c:pt idx="1">
                  <c:v>5.9158853105041438E-2</c:v>
                </c:pt>
                <c:pt idx="2">
                  <c:v>3.9095058543361781E-2</c:v>
                </c:pt>
                <c:pt idx="3">
                  <c:v>2.472160356347439E-2</c:v>
                </c:pt>
                <c:pt idx="4">
                  <c:v>1.729530201342282E-2</c:v>
                </c:pt>
                <c:pt idx="5">
                  <c:v>1.4354988233616198E-2</c:v>
                </c:pt>
                <c:pt idx="6">
                  <c:v>1.3678691603411848E-2</c:v>
                </c:pt>
                <c:pt idx="7">
                  <c:v>1.4009183397857205E-2</c:v>
                </c:pt>
                <c:pt idx="8">
                  <c:v>1.4835105811580191E-2</c:v>
                </c:pt>
                <c:pt idx="9">
                  <c:v>1.7826271786878276E-2</c:v>
                </c:pt>
                <c:pt idx="10">
                  <c:v>2.5957446808510639E-2</c:v>
                </c:pt>
                <c:pt idx="11">
                  <c:v>5.1699029126213589E-2</c:v>
                </c:pt>
                <c:pt idx="12">
                  <c:v>0.42680722891566264</c:v>
                </c:pt>
                <c:pt idx="13">
                  <c:v>-9.3732512590934527E-2</c:v>
                </c:pt>
                <c:pt idx="14">
                  <c:v>-5.1220703124999996E-2</c:v>
                </c:pt>
                <c:pt idx="15">
                  <c:v>-4.0920601817369284E-2</c:v>
                </c:pt>
                <c:pt idx="16">
                  <c:v>-4.2455069515089865E-2</c:v>
                </c:pt>
                <c:pt idx="17">
                  <c:v>-6.6985998526160648E-2</c:v>
                </c:pt>
                <c:pt idx="18">
                  <c:v>-0.71353149955634432</c:v>
                </c:pt>
                <c:pt idx="19">
                  <c:v>-0.77999092558983674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'Wing Mid.'!$P$4:$P$23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Mid.'!$V$4:$V$23</c:f>
              <c:numCache>
                <c:formatCode>General</c:formatCode>
                <c:ptCount val="20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5.6390492134596917E-2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106610688"/>
        <c:axId val="106612224"/>
      </c:scatterChart>
      <c:valAx>
        <c:axId val="106610688"/>
        <c:scaling>
          <c:orientation val="minMax"/>
        </c:scaling>
        <c:axPos val="b"/>
        <c:numFmt formatCode="General" sourceLinked="1"/>
        <c:tickLblPos val="nextTo"/>
        <c:crossAx val="106612224"/>
        <c:crosses val="autoZero"/>
        <c:crossBetween val="midCat"/>
      </c:valAx>
      <c:valAx>
        <c:axId val="106612224"/>
        <c:scaling>
          <c:orientation val="minMax"/>
        </c:scaling>
        <c:axPos val="l"/>
        <c:majorGridlines/>
        <c:numFmt formatCode="General" sourceLinked="1"/>
        <c:tickLblPos val="nextTo"/>
        <c:crossAx val="106610688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Chract.'!$B$4:$B$14</c:f>
              <c:numCache>
                <c:formatCode>General</c:formatCode>
                <c:ptCount val="11"/>
                <c:pt idx="0">
                  <c:v>0.70699999999999996</c:v>
                </c:pt>
                <c:pt idx="1">
                  <c:v>0.69520000000000004</c:v>
                </c:pt>
                <c:pt idx="2">
                  <c:v>0.62980000000000003</c:v>
                </c:pt>
                <c:pt idx="3">
                  <c:v>0.43969999999999998</c:v>
                </c:pt>
                <c:pt idx="4">
                  <c:v>0.25679999999999997</c:v>
                </c:pt>
                <c:pt idx="5">
                  <c:v>0</c:v>
                </c:pt>
                <c:pt idx="6">
                  <c:v>-0.25690000000000002</c:v>
                </c:pt>
                <c:pt idx="7">
                  <c:v>-0.43969999999999998</c:v>
                </c:pt>
                <c:pt idx="8">
                  <c:v>-0.62980000000000003</c:v>
                </c:pt>
                <c:pt idx="9">
                  <c:v>-0.69520000000000004</c:v>
                </c:pt>
                <c:pt idx="10">
                  <c:v>-0.70699999999999996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Chract.'!$J$4:$J$14</c:f>
              <c:numCache>
                <c:formatCode>General</c:formatCode>
                <c:ptCount val="11"/>
                <c:pt idx="0">
                  <c:v>0.63067111338361759</c:v>
                </c:pt>
                <c:pt idx="1">
                  <c:v>0.44146977936853238</c:v>
                </c:pt>
                <c:pt idx="2">
                  <c:v>0.37840266803017059</c:v>
                </c:pt>
                <c:pt idx="3">
                  <c:v>0.25226844535344706</c:v>
                </c:pt>
                <c:pt idx="4">
                  <c:v>0.12613422267672353</c:v>
                </c:pt>
                <c:pt idx="5">
                  <c:v>0</c:v>
                </c:pt>
                <c:pt idx="6">
                  <c:v>-0.12613422267672353</c:v>
                </c:pt>
                <c:pt idx="7">
                  <c:v>-0.25226844535344706</c:v>
                </c:pt>
                <c:pt idx="8">
                  <c:v>-0.37840266803017059</c:v>
                </c:pt>
                <c:pt idx="9">
                  <c:v>-0.44146977936853238</c:v>
                </c:pt>
                <c:pt idx="10">
                  <c:v>-0.63067111338361759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Chract.'!$I$4:$I$14</c:f>
              <c:numCache>
                <c:formatCode>General</c:formatCode>
                <c:ptCount val="11"/>
                <c:pt idx="0">
                  <c:v>1.0496666666666667</c:v>
                </c:pt>
                <c:pt idx="1">
                  <c:v>0.73476666666666668</c:v>
                </c:pt>
                <c:pt idx="2">
                  <c:v>0.62980000000000003</c:v>
                </c:pt>
                <c:pt idx="3">
                  <c:v>0.41986666666666667</c:v>
                </c:pt>
                <c:pt idx="4">
                  <c:v>0.20993333333333333</c:v>
                </c:pt>
                <c:pt idx="5">
                  <c:v>0</c:v>
                </c:pt>
                <c:pt idx="6">
                  <c:v>-0.20993333333333333</c:v>
                </c:pt>
                <c:pt idx="7">
                  <c:v>-0.41986666666666667</c:v>
                </c:pt>
                <c:pt idx="8">
                  <c:v>-0.62980000000000003</c:v>
                </c:pt>
                <c:pt idx="9">
                  <c:v>-0.73476666666666668</c:v>
                </c:pt>
                <c:pt idx="10">
                  <c:v>-1.0496666666666667</c:v>
                </c:pt>
              </c:numCache>
            </c:numRef>
          </c:yVal>
          <c:smooth val="1"/>
        </c:ser>
        <c:axId val="106651008"/>
        <c:axId val="106677376"/>
      </c:scatterChart>
      <c:valAx>
        <c:axId val="106651008"/>
        <c:scaling>
          <c:orientation val="minMax"/>
        </c:scaling>
        <c:axPos val="b"/>
        <c:numFmt formatCode="General" sourceLinked="1"/>
        <c:tickLblPos val="nextTo"/>
        <c:crossAx val="106677376"/>
        <c:crosses val="autoZero"/>
        <c:crossBetween val="midCat"/>
      </c:valAx>
      <c:valAx>
        <c:axId val="106677376"/>
        <c:scaling>
          <c:orientation val="minMax"/>
        </c:scaling>
        <c:axPos val="l"/>
        <c:majorGridlines/>
        <c:numFmt formatCode="General" sourceLinked="1"/>
        <c:tickLblPos val="nextTo"/>
        <c:crossAx val="106651008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Chract.'!$C$4:$C$14</c:f>
              <c:numCache>
                <c:formatCode>General</c:formatCode>
                <c:ptCount val="11"/>
                <c:pt idx="0">
                  <c:v>0.11638999999999999</c:v>
                </c:pt>
                <c:pt idx="1">
                  <c:v>4.9090000000000002E-2</c:v>
                </c:pt>
                <c:pt idx="2">
                  <c:v>3.542E-2</c:v>
                </c:pt>
                <c:pt idx="3">
                  <c:v>1.259E-2</c:v>
                </c:pt>
                <c:pt idx="4">
                  <c:v>6.1900000000000002E-3</c:v>
                </c:pt>
                <c:pt idx="5">
                  <c:v>6.0299999999999998E-3</c:v>
                </c:pt>
                <c:pt idx="6">
                  <c:v>6.1900000000000002E-3</c:v>
                </c:pt>
                <c:pt idx="7">
                  <c:v>1.259E-2</c:v>
                </c:pt>
                <c:pt idx="8">
                  <c:v>3.542E-2</c:v>
                </c:pt>
                <c:pt idx="9">
                  <c:v>4.9090000000000002E-2</c:v>
                </c:pt>
                <c:pt idx="10">
                  <c:v>0.11638999999999999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Chract.'!$K$4:$K$14</c:f>
              <c:numCache>
                <c:formatCode>General</c:formatCode>
                <c:ptCount val="11"/>
                <c:pt idx="5">
                  <c:v>1.2999999999999999E-2</c:v>
                </c:pt>
              </c:numCache>
            </c:numRef>
          </c:yVal>
          <c:smooth val="1"/>
        </c:ser>
        <c:axId val="106698240"/>
        <c:axId val="106699776"/>
      </c:scatterChart>
      <c:valAx>
        <c:axId val="106698240"/>
        <c:scaling>
          <c:orientation val="minMax"/>
        </c:scaling>
        <c:axPos val="b"/>
        <c:numFmt formatCode="General" sourceLinked="1"/>
        <c:tickLblPos val="nextTo"/>
        <c:crossAx val="106699776"/>
        <c:crosses val="autoZero"/>
        <c:crossBetween val="midCat"/>
      </c:valAx>
      <c:valAx>
        <c:axId val="106699776"/>
        <c:scaling>
          <c:orientation val="minMax"/>
        </c:scaling>
        <c:axPos val="l"/>
        <c:majorGridlines/>
        <c:numFmt formatCode="General" sourceLinked="1"/>
        <c:tickLblPos val="nextTo"/>
        <c:crossAx val="106698240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977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443E-2"/>
          <c:w val="0.87469230788477825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'Horizontal Chract.'!$C$4:$C$14</c:f>
              <c:numCache>
                <c:formatCode>General</c:formatCode>
                <c:ptCount val="11"/>
                <c:pt idx="0">
                  <c:v>0.11638999999999999</c:v>
                </c:pt>
                <c:pt idx="1">
                  <c:v>4.9090000000000002E-2</c:v>
                </c:pt>
                <c:pt idx="2">
                  <c:v>3.542E-2</c:v>
                </c:pt>
                <c:pt idx="3">
                  <c:v>1.259E-2</c:v>
                </c:pt>
                <c:pt idx="4">
                  <c:v>6.1900000000000002E-3</c:v>
                </c:pt>
                <c:pt idx="5">
                  <c:v>6.0299999999999998E-3</c:v>
                </c:pt>
                <c:pt idx="6">
                  <c:v>6.1900000000000002E-3</c:v>
                </c:pt>
                <c:pt idx="7">
                  <c:v>1.259E-2</c:v>
                </c:pt>
                <c:pt idx="8">
                  <c:v>3.542E-2</c:v>
                </c:pt>
                <c:pt idx="9">
                  <c:v>4.9090000000000002E-2</c:v>
                </c:pt>
                <c:pt idx="10">
                  <c:v>0.11638999999999999</c:v>
                </c:pt>
              </c:numCache>
            </c:numRef>
          </c:xVal>
          <c:yVal>
            <c:numRef>
              <c:f>'Horizontal Chract.'!$B$4:$B$14</c:f>
              <c:numCache>
                <c:formatCode>General</c:formatCode>
                <c:ptCount val="11"/>
                <c:pt idx="0">
                  <c:v>0.70699999999999996</c:v>
                </c:pt>
                <c:pt idx="1">
                  <c:v>0.69520000000000004</c:v>
                </c:pt>
                <c:pt idx="2">
                  <c:v>0.62980000000000003</c:v>
                </c:pt>
                <c:pt idx="3">
                  <c:v>0.43969999999999998</c:v>
                </c:pt>
                <c:pt idx="4">
                  <c:v>0.25679999999999997</c:v>
                </c:pt>
                <c:pt idx="5">
                  <c:v>0</c:v>
                </c:pt>
                <c:pt idx="6">
                  <c:v>-0.25690000000000002</c:v>
                </c:pt>
                <c:pt idx="7">
                  <c:v>-0.43969999999999998</c:v>
                </c:pt>
                <c:pt idx="8">
                  <c:v>-0.62980000000000003</c:v>
                </c:pt>
                <c:pt idx="9">
                  <c:v>-0.69520000000000004</c:v>
                </c:pt>
                <c:pt idx="10">
                  <c:v>-0.70699999999999996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'Horizontal Chract.'!$K$4:$K$14</c:f>
              <c:numCache>
                <c:formatCode>General</c:formatCode>
                <c:ptCount val="11"/>
                <c:pt idx="5">
                  <c:v>1.2999999999999999E-2</c:v>
                </c:pt>
              </c:numCache>
            </c:numRef>
          </c:xVal>
          <c:yVal>
            <c:numRef>
              <c:f>'Horizontal Chract.'!$J$4:$J$14</c:f>
              <c:numCache>
                <c:formatCode>General</c:formatCode>
                <c:ptCount val="11"/>
                <c:pt idx="0">
                  <c:v>0.63067111338361759</c:v>
                </c:pt>
                <c:pt idx="1">
                  <c:v>0.44146977936853238</c:v>
                </c:pt>
                <c:pt idx="2">
                  <c:v>0.37840266803017059</c:v>
                </c:pt>
                <c:pt idx="3">
                  <c:v>0.25226844535344706</c:v>
                </c:pt>
                <c:pt idx="4">
                  <c:v>0.12613422267672353</c:v>
                </c:pt>
                <c:pt idx="5">
                  <c:v>0</c:v>
                </c:pt>
                <c:pt idx="6">
                  <c:v>-0.12613422267672353</c:v>
                </c:pt>
                <c:pt idx="7">
                  <c:v>-0.25226844535344706</c:v>
                </c:pt>
                <c:pt idx="8">
                  <c:v>-0.37840266803017059</c:v>
                </c:pt>
                <c:pt idx="9">
                  <c:v>-0.44146977936853238</c:v>
                </c:pt>
                <c:pt idx="10">
                  <c:v>-0.63067111338361759</c:v>
                </c:pt>
              </c:numCache>
            </c:numRef>
          </c:yVal>
          <c:smooth val="1"/>
        </c:ser>
        <c:axId val="106732928"/>
        <c:axId val="106738816"/>
      </c:scatterChart>
      <c:valAx>
        <c:axId val="106732928"/>
        <c:scaling>
          <c:orientation val="minMax"/>
        </c:scaling>
        <c:axPos val="b"/>
        <c:numFmt formatCode="General" sourceLinked="1"/>
        <c:tickLblPos val="nextTo"/>
        <c:crossAx val="106738816"/>
        <c:crosses val="autoZero"/>
        <c:crossBetween val="midCat"/>
      </c:valAx>
      <c:valAx>
        <c:axId val="106738816"/>
        <c:scaling>
          <c:orientation val="minMax"/>
        </c:scaling>
        <c:axPos val="l"/>
        <c:majorGridlines/>
        <c:numFmt formatCode="General" sourceLinked="1"/>
        <c:tickLblPos val="nextTo"/>
        <c:crossAx val="10673292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Chract.'!$M$4:$M$14</c:f>
              <c:numCache>
                <c:formatCode>General</c:formatCode>
                <c:ptCount val="11"/>
                <c:pt idx="0">
                  <c:v>6.0744050176131967</c:v>
                </c:pt>
                <c:pt idx="1">
                  <c:v>14.161743735995111</c:v>
                </c:pt>
                <c:pt idx="2">
                  <c:v>17.780914737436476</c:v>
                </c:pt>
                <c:pt idx="3">
                  <c:v>34.924543288324067</c:v>
                </c:pt>
                <c:pt idx="4">
                  <c:v>41.486268174474951</c:v>
                </c:pt>
                <c:pt idx="5">
                  <c:v>0</c:v>
                </c:pt>
                <c:pt idx="6">
                  <c:v>-41.502423263327948</c:v>
                </c:pt>
                <c:pt idx="7">
                  <c:v>-34.924543288324067</c:v>
                </c:pt>
                <c:pt idx="8">
                  <c:v>-17.780914737436476</c:v>
                </c:pt>
                <c:pt idx="9">
                  <c:v>-14.161743735995111</c:v>
                </c:pt>
                <c:pt idx="10">
                  <c:v>-6.0744050176131967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Chract.'!$N$4:$N$14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06833408"/>
        <c:axId val="106834944"/>
      </c:scatterChart>
      <c:valAx>
        <c:axId val="106833408"/>
        <c:scaling>
          <c:orientation val="minMax"/>
        </c:scaling>
        <c:axPos val="b"/>
        <c:numFmt formatCode="General" sourceLinked="1"/>
        <c:tickLblPos val="nextTo"/>
        <c:crossAx val="106834944"/>
        <c:crosses val="autoZero"/>
        <c:crossBetween val="midCat"/>
      </c:valAx>
      <c:valAx>
        <c:axId val="106834944"/>
        <c:scaling>
          <c:orientation val="minMax"/>
        </c:scaling>
        <c:axPos val="l"/>
        <c:majorGridlines/>
        <c:numFmt formatCode="General" sourceLinked="1"/>
        <c:tickLblPos val="nextTo"/>
        <c:crossAx val="1068334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903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'Horizontal Chract.'!$E$4:$E$14</c:f>
              <c:numCache>
                <c:formatCode>General</c:formatCode>
                <c:ptCount val="11"/>
                <c:pt idx="0">
                  <c:v>-3.1800000000000002E-2</c:v>
                </c:pt>
                <c:pt idx="1">
                  <c:v>1.11E-2</c:v>
                </c:pt>
                <c:pt idx="2">
                  <c:v>1.0500000000000001E-2</c:v>
                </c:pt>
                <c:pt idx="3">
                  <c:v>1.4E-3</c:v>
                </c:pt>
                <c:pt idx="4">
                  <c:v>-6.6E-3</c:v>
                </c:pt>
                <c:pt idx="5">
                  <c:v>0</c:v>
                </c:pt>
                <c:pt idx="6">
                  <c:v>6.6E-3</c:v>
                </c:pt>
                <c:pt idx="7">
                  <c:v>-1.4E-3</c:v>
                </c:pt>
                <c:pt idx="8">
                  <c:v>-1.0500000000000001E-2</c:v>
                </c:pt>
                <c:pt idx="9">
                  <c:v>-1.11E-2</c:v>
                </c:pt>
                <c:pt idx="10">
                  <c:v>-3.1800000000000002E-2</c:v>
                </c:pt>
              </c:numCache>
            </c:numRef>
          </c:xVal>
          <c:yVal>
            <c:numRef>
              <c:f>'Horizontal Chract.'!$B$4:$B$14</c:f>
              <c:numCache>
                <c:formatCode>General</c:formatCode>
                <c:ptCount val="11"/>
                <c:pt idx="0">
                  <c:v>0.70699999999999996</c:v>
                </c:pt>
                <c:pt idx="1">
                  <c:v>0.69520000000000004</c:v>
                </c:pt>
                <c:pt idx="2">
                  <c:v>0.62980000000000003</c:v>
                </c:pt>
                <c:pt idx="3">
                  <c:v>0.43969999999999998</c:v>
                </c:pt>
                <c:pt idx="4">
                  <c:v>0.25679999999999997</c:v>
                </c:pt>
                <c:pt idx="5">
                  <c:v>0</c:v>
                </c:pt>
                <c:pt idx="6">
                  <c:v>-0.25690000000000002</c:v>
                </c:pt>
                <c:pt idx="7">
                  <c:v>-0.43969999999999998</c:v>
                </c:pt>
                <c:pt idx="8">
                  <c:v>-0.62980000000000003</c:v>
                </c:pt>
                <c:pt idx="9">
                  <c:v>-0.69520000000000004</c:v>
                </c:pt>
                <c:pt idx="10">
                  <c:v>-0.70699999999999996</c:v>
                </c:pt>
              </c:numCache>
            </c:numRef>
          </c:yVal>
          <c:smooth val="1"/>
        </c:ser>
        <c:axId val="106871424"/>
        <c:axId val="106881408"/>
      </c:scatterChart>
      <c:valAx>
        <c:axId val="106871424"/>
        <c:scaling>
          <c:orientation val="minMax"/>
        </c:scaling>
        <c:axPos val="b"/>
        <c:numFmt formatCode="General" sourceLinked="1"/>
        <c:tickLblPos val="nextTo"/>
        <c:crossAx val="106881408"/>
        <c:crosses val="autoZero"/>
        <c:crossBetween val="midCat"/>
      </c:valAx>
      <c:valAx>
        <c:axId val="106881408"/>
        <c:scaling>
          <c:orientation val="minMax"/>
        </c:scaling>
        <c:axPos val="l"/>
        <c:majorGridlines/>
        <c:numFmt formatCode="General" sourceLinked="1"/>
        <c:tickLblPos val="nextTo"/>
        <c:crossAx val="106871424"/>
        <c:crosses val="autoZero"/>
        <c:crossBetween val="midCat"/>
      </c:valAx>
    </c:plotArea>
    <c:legend>
      <c:legendPos val="l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Chract.'!$O$4:$O$14</c:f>
              <c:numCache>
                <c:formatCode>General</c:formatCode>
                <c:ptCount val="11"/>
                <c:pt idx="0">
                  <c:v>0.16462517680339464</c:v>
                </c:pt>
                <c:pt idx="1">
                  <c:v>7.0612773302646717E-2</c:v>
                </c:pt>
                <c:pt idx="2">
                  <c:v>5.6240076214671329E-2</c:v>
                </c:pt>
                <c:pt idx="3">
                  <c:v>2.8633158972026382E-2</c:v>
                </c:pt>
                <c:pt idx="4">
                  <c:v>2.4104361370716514E-2</c:v>
                </c:pt>
                <c:pt idx="5">
                  <c:v>0</c:v>
                </c:pt>
                <c:pt idx="6">
                  <c:v>-2.4094978590891398E-2</c:v>
                </c:pt>
                <c:pt idx="7">
                  <c:v>-2.8633158972026382E-2</c:v>
                </c:pt>
                <c:pt idx="8">
                  <c:v>-5.6240076214671329E-2</c:v>
                </c:pt>
                <c:pt idx="9">
                  <c:v>-7.0612773302646717E-2</c:v>
                </c:pt>
                <c:pt idx="10">
                  <c:v>-0.16462517680339464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Chract.'!$P$4:$P$14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06771200"/>
        <c:axId val="106772736"/>
      </c:scatterChart>
      <c:valAx>
        <c:axId val="106771200"/>
        <c:scaling>
          <c:orientation val="minMax"/>
        </c:scaling>
        <c:axPos val="b"/>
        <c:numFmt formatCode="General" sourceLinked="1"/>
        <c:tickLblPos val="nextTo"/>
        <c:crossAx val="106772736"/>
        <c:crosses val="autoZero"/>
        <c:crossBetween val="midCat"/>
      </c:valAx>
      <c:valAx>
        <c:axId val="106772736"/>
        <c:scaling>
          <c:orientation val="minMax"/>
        </c:scaling>
        <c:axPos val="l"/>
        <c:majorGridlines/>
        <c:numFmt formatCode="General" sourceLinked="1"/>
        <c:tickLblPos val="nextTo"/>
        <c:crossAx val="106771200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Chract.'!$B$4:$B$14</c:f>
              <c:numCache>
                <c:formatCode>General</c:formatCode>
                <c:ptCount val="11"/>
                <c:pt idx="0">
                  <c:v>0.81810000000000005</c:v>
                </c:pt>
                <c:pt idx="1">
                  <c:v>0.80530000000000002</c:v>
                </c:pt>
                <c:pt idx="2">
                  <c:v>0.63870000000000005</c:v>
                </c:pt>
                <c:pt idx="3">
                  <c:v>0.47089999999999999</c:v>
                </c:pt>
                <c:pt idx="4">
                  <c:v>0.28889999999999999</c:v>
                </c:pt>
                <c:pt idx="5">
                  <c:v>0</c:v>
                </c:pt>
                <c:pt idx="6">
                  <c:v>-0.28889999999999999</c:v>
                </c:pt>
                <c:pt idx="7">
                  <c:v>-0.47110000000000002</c:v>
                </c:pt>
                <c:pt idx="8">
                  <c:v>-0.63890000000000002</c:v>
                </c:pt>
                <c:pt idx="9">
                  <c:v>-0.80559999999999998</c:v>
                </c:pt>
                <c:pt idx="10">
                  <c:v>-0.87980000000000003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Chract.'!$J$4:$J$14</c:f>
              <c:numCache>
                <c:formatCode>General</c:formatCode>
                <c:ptCount val="11"/>
                <c:pt idx="0">
                  <c:v>1.0524412092997009</c:v>
                </c:pt>
                <c:pt idx="1">
                  <c:v>0.84195296743976067</c:v>
                </c:pt>
                <c:pt idx="2">
                  <c:v>0.63146472557982047</c:v>
                </c:pt>
                <c:pt idx="3">
                  <c:v>0.42097648371988033</c:v>
                </c:pt>
                <c:pt idx="4">
                  <c:v>0.21048824185994017</c:v>
                </c:pt>
                <c:pt idx="5">
                  <c:v>0</c:v>
                </c:pt>
                <c:pt idx="6">
                  <c:v>-0.21048824185994017</c:v>
                </c:pt>
                <c:pt idx="7">
                  <c:v>-0.42097648371988033</c:v>
                </c:pt>
                <c:pt idx="8">
                  <c:v>-0.63146472557982047</c:v>
                </c:pt>
                <c:pt idx="9">
                  <c:v>-0.84195296743976067</c:v>
                </c:pt>
                <c:pt idx="10">
                  <c:v>-1.0524412092997009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Chract.'!$I$4:$I$14</c:f>
              <c:numCache>
                <c:formatCode>General</c:formatCode>
                <c:ptCount val="11"/>
                <c:pt idx="0">
                  <c:v>1.0645</c:v>
                </c:pt>
                <c:pt idx="1">
                  <c:v>0.85160000000000002</c:v>
                </c:pt>
                <c:pt idx="2">
                  <c:v>0.63870000000000005</c:v>
                </c:pt>
                <c:pt idx="3">
                  <c:v>0.42580000000000001</c:v>
                </c:pt>
                <c:pt idx="4">
                  <c:v>0.21290000000000001</c:v>
                </c:pt>
                <c:pt idx="5">
                  <c:v>0</c:v>
                </c:pt>
                <c:pt idx="6">
                  <c:v>-0.21290000000000001</c:v>
                </c:pt>
                <c:pt idx="7">
                  <c:v>-0.42580000000000001</c:v>
                </c:pt>
                <c:pt idx="8">
                  <c:v>-0.63870000000000005</c:v>
                </c:pt>
                <c:pt idx="9">
                  <c:v>-0.85160000000000002</c:v>
                </c:pt>
                <c:pt idx="10">
                  <c:v>-1.0645</c:v>
                </c:pt>
              </c:numCache>
            </c:numRef>
          </c:yVal>
          <c:smooth val="1"/>
        </c:ser>
        <c:axId val="106954752"/>
        <c:axId val="106956288"/>
      </c:scatterChart>
      <c:valAx>
        <c:axId val="106954752"/>
        <c:scaling>
          <c:orientation val="minMax"/>
        </c:scaling>
        <c:axPos val="b"/>
        <c:numFmt formatCode="General" sourceLinked="1"/>
        <c:tickLblPos val="nextTo"/>
        <c:crossAx val="106956288"/>
        <c:crosses val="autoZero"/>
        <c:crossBetween val="midCat"/>
      </c:valAx>
      <c:valAx>
        <c:axId val="106956288"/>
        <c:scaling>
          <c:orientation val="minMax"/>
        </c:scaling>
        <c:axPos val="l"/>
        <c:majorGridlines/>
        <c:numFmt formatCode="General" sourceLinked="1"/>
        <c:tickLblPos val="nextTo"/>
        <c:crossAx val="106954752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Chract.'!$C$4:$C$14</c:f>
              <c:numCache>
                <c:formatCode>General</c:formatCode>
                <c:ptCount val="11"/>
                <c:pt idx="0">
                  <c:v>4.2139999999999997E-2</c:v>
                </c:pt>
                <c:pt idx="1">
                  <c:v>1.2919999999999999E-2</c:v>
                </c:pt>
                <c:pt idx="2">
                  <c:v>4.5100000000000001E-3</c:v>
                </c:pt>
                <c:pt idx="3">
                  <c:v>1.4499999999999999E-3</c:v>
                </c:pt>
                <c:pt idx="4">
                  <c:v>7.6999999999999996E-4</c:v>
                </c:pt>
                <c:pt idx="5">
                  <c:v>7.5000000000000002E-4</c:v>
                </c:pt>
                <c:pt idx="6">
                  <c:v>7.9000000000000001E-4</c:v>
                </c:pt>
                <c:pt idx="7">
                  <c:v>1.5E-3</c:v>
                </c:pt>
                <c:pt idx="8">
                  <c:v>4.5999999999999999E-3</c:v>
                </c:pt>
                <c:pt idx="9">
                  <c:v>1.3010000000000001E-2</c:v>
                </c:pt>
                <c:pt idx="10">
                  <c:v>5.4530000000000002E-2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Chract.'!$K$4:$K$14</c:f>
              <c:numCache>
                <c:formatCode>General</c:formatCode>
                <c:ptCount val="11"/>
                <c:pt idx="5">
                  <c:v>1.4E-3</c:v>
                </c:pt>
              </c:numCache>
            </c:numRef>
          </c:yVal>
          <c:smooth val="1"/>
        </c:ser>
        <c:axId val="106973056"/>
        <c:axId val="106974592"/>
      </c:scatterChart>
      <c:valAx>
        <c:axId val="106973056"/>
        <c:scaling>
          <c:orientation val="minMax"/>
        </c:scaling>
        <c:axPos val="b"/>
        <c:numFmt formatCode="General" sourceLinked="1"/>
        <c:tickLblPos val="nextTo"/>
        <c:crossAx val="106974592"/>
        <c:crosses val="autoZero"/>
        <c:crossBetween val="midCat"/>
      </c:valAx>
      <c:valAx>
        <c:axId val="106974592"/>
        <c:scaling>
          <c:orientation val="minMax"/>
        </c:scaling>
        <c:axPos val="l"/>
        <c:majorGridlines/>
        <c:numFmt formatCode="General" sourceLinked="1"/>
        <c:tickLblPos val="nextTo"/>
        <c:crossAx val="106973056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999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46E-2"/>
          <c:w val="0.87469230788477859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'Vertical Chract.'!$C$4:$C$14</c:f>
              <c:numCache>
                <c:formatCode>General</c:formatCode>
                <c:ptCount val="11"/>
                <c:pt idx="0">
                  <c:v>4.2139999999999997E-2</c:v>
                </c:pt>
                <c:pt idx="1">
                  <c:v>1.2919999999999999E-2</c:v>
                </c:pt>
                <c:pt idx="2">
                  <c:v>4.5100000000000001E-3</c:v>
                </c:pt>
                <c:pt idx="3">
                  <c:v>1.4499999999999999E-3</c:v>
                </c:pt>
                <c:pt idx="4">
                  <c:v>7.6999999999999996E-4</c:v>
                </c:pt>
                <c:pt idx="5">
                  <c:v>7.5000000000000002E-4</c:v>
                </c:pt>
                <c:pt idx="6">
                  <c:v>7.9000000000000001E-4</c:v>
                </c:pt>
                <c:pt idx="7">
                  <c:v>1.5E-3</c:v>
                </c:pt>
                <c:pt idx="8">
                  <c:v>4.5999999999999999E-3</c:v>
                </c:pt>
                <c:pt idx="9">
                  <c:v>1.3010000000000001E-2</c:v>
                </c:pt>
                <c:pt idx="10">
                  <c:v>5.4530000000000002E-2</c:v>
                </c:pt>
              </c:numCache>
            </c:numRef>
          </c:xVal>
          <c:yVal>
            <c:numRef>
              <c:f>'Vertical Chract.'!$B$4:$B$14</c:f>
              <c:numCache>
                <c:formatCode>General</c:formatCode>
                <c:ptCount val="11"/>
                <c:pt idx="0">
                  <c:v>0.81810000000000005</c:v>
                </c:pt>
                <c:pt idx="1">
                  <c:v>0.80530000000000002</c:v>
                </c:pt>
                <c:pt idx="2">
                  <c:v>0.63870000000000005</c:v>
                </c:pt>
                <c:pt idx="3">
                  <c:v>0.47089999999999999</c:v>
                </c:pt>
                <c:pt idx="4">
                  <c:v>0.28889999999999999</c:v>
                </c:pt>
                <c:pt idx="5">
                  <c:v>0</c:v>
                </c:pt>
                <c:pt idx="6">
                  <c:v>-0.28889999999999999</c:v>
                </c:pt>
                <c:pt idx="7">
                  <c:v>-0.47110000000000002</c:v>
                </c:pt>
                <c:pt idx="8">
                  <c:v>-0.63890000000000002</c:v>
                </c:pt>
                <c:pt idx="9">
                  <c:v>-0.80559999999999998</c:v>
                </c:pt>
                <c:pt idx="10">
                  <c:v>-0.87980000000000003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'Vertical Chract.'!$K$4:$K$14</c:f>
              <c:numCache>
                <c:formatCode>General</c:formatCode>
                <c:ptCount val="11"/>
                <c:pt idx="5">
                  <c:v>1.4E-3</c:v>
                </c:pt>
              </c:numCache>
            </c:numRef>
          </c:xVal>
          <c:yVal>
            <c:numRef>
              <c:f>'Vertical Chract.'!$J$4:$J$14</c:f>
              <c:numCache>
                <c:formatCode>General</c:formatCode>
                <c:ptCount val="11"/>
                <c:pt idx="0">
                  <c:v>1.0524412092997009</c:v>
                </c:pt>
                <c:pt idx="1">
                  <c:v>0.84195296743976067</c:v>
                </c:pt>
                <c:pt idx="2">
                  <c:v>0.63146472557982047</c:v>
                </c:pt>
                <c:pt idx="3">
                  <c:v>0.42097648371988033</c:v>
                </c:pt>
                <c:pt idx="4">
                  <c:v>0.21048824185994017</c:v>
                </c:pt>
                <c:pt idx="5">
                  <c:v>0</c:v>
                </c:pt>
                <c:pt idx="6">
                  <c:v>-0.21048824185994017</c:v>
                </c:pt>
                <c:pt idx="7">
                  <c:v>-0.42097648371988033</c:v>
                </c:pt>
                <c:pt idx="8">
                  <c:v>-0.63146472557982047</c:v>
                </c:pt>
                <c:pt idx="9">
                  <c:v>-0.84195296743976067</c:v>
                </c:pt>
                <c:pt idx="10">
                  <c:v>-1.0524412092997009</c:v>
                </c:pt>
              </c:numCache>
            </c:numRef>
          </c:yVal>
          <c:smooth val="1"/>
        </c:ser>
        <c:axId val="107008000"/>
        <c:axId val="107009536"/>
      </c:scatterChart>
      <c:valAx>
        <c:axId val="107008000"/>
        <c:scaling>
          <c:orientation val="minMax"/>
        </c:scaling>
        <c:axPos val="b"/>
        <c:numFmt formatCode="General" sourceLinked="1"/>
        <c:tickLblPos val="nextTo"/>
        <c:crossAx val="107009536"/>
        <c:crosses val="autoZero"/>
        <c:crossBetween val="midCat"/>
      </c:valAx>
      <c:valAx>
        <c:axId val="107009536"/>
        <c:scaling>
          <c:orientation val="minMax"/>
        </c:scaling>
        <c:axPos val="l"/>
        <c:majorGridlines/>
        <c:numFmt formatCode="General" sourceLinked="1"/>
        <c:tickLblPos val="nextTo"/>
        <c:crossAx val="10700800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Chract.'!$M$4:$M$14</c:f>
              <c:numCache>
                <c:formatCode>General</c:formatCode>
                <c:ptCount val="11"/>
                <c:pt idx="0">
                  <c:v>19.413858566682489</c:v>
                </c:pt>
                <c:pt idx="1">
                  <c:v>62.329721362229108</c:v>
                </c:pt>
                <c:pt idx="2">
                  <c:v>141.61862527716187</c:v>
                </c:pt>
                <c:pt idx="3">
                  <c:v>324.75862068965517</c:v>
                </c:pt>
                <c:pt idx="4">
                  <c:v>375.19480519480521</c:v>
                </c:pt>
                <c:pt idx="5">
                  <c:v>0</c:v>
                </c:pt>
                <c:pt idx="6">
                  <c:v>-365.69620253164555</c:v>
                </c:pt>
                <c:pt idx="7">
                  <c:v>-314.06666666666666</c:v>
                </c:pt>
                <c:pt idx="8">
                  <c:v>-138.89130434782609</c:v>
                </c:pt>
                <c:pt idx="9">
                  <c:v>-61.921598770176786</c:v>
                </c:pt>
                <c:pt idx="10">
                  <c:v>-16.134238034109664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Chract.'!$N$4:$N$14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07124608"/>
        <c:axId val="107126144"/>
      </c:scatterChart>
      <c:valAx>
        <c:axId val="107124608"/>
        <c:scaling>
          <c:orientation val="minMax"/>
        </c:scaling>
        <c:axPos val="b"/>
        <c:numFmt formatCode="General" sourceLinked="1"/>
        <c:tickLblPos val="nextTo"/>
        <c:crossAx val="107126144"/>
        <c:crosses val="autoZero"/>
        <c:crossBetween val="midCat"/>
      </c:valAx>
      <c:valAx>
        <c:axId val="107126144"/>
        <c:scaling>
          <c:orientation val="minMax"/>
        </c:scaling>
        <c:axPos val="l"/>
        <c:majorGridlines/>
        <c:numFmt formatCode="General" sourceLinked="1"/>
        <c:tickLblPos val="nextTo"/>
        <c:crossAx val="1071246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903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'Vertical Chract.'!$E$4:$E$14</c:f>
              <c:numCache>
                <c:formatCode>General</c:formatCode>
                <c:ptCount val="11"/>
                <c:pt idx="0">
                  <c:v>2.75E-2</c:v>
                </c:pt>
                <c:pt idx="1">
                  <c:v>1.17E-2</c:v>
                </c:pt>
                <c:pt idx="2">
                  <c:v>3.5000000000000001E-3</c:v>
                </c:pt>
                <c:pt idx="3">
                  <c:v>-5.1999999999999998E-3</c:v>
                </c:pt>
                <c:pt idx="4">
                  <c:v>-1.14E-2</c:v>
                </c:pt>
                <c:pt idx="5">
                  <c:v>0</c:v>
                </c:pt>
                <c:pt idx="6">
                  <c:v>1.15E-2</c:v>
                </c:pt>
                <c:pt idx="7">
                  <c:v>5.1999999999999998E-3</c:v>
                </c:pt>
                <c:pt idx="8">
                  <c:v>-3.3999999999999998E-3</c:v>
                </c:pt>
                <c:pt idx="9">
                  <c:v>-1.17E-2</c:v>
                </c:pt>
                <c:pt idx="10">
                  <c:v>-2.1399999999999999E-2</c:v>
                </c:pt>
              </c:numCache>
            </c:numRef>
          </c:xVal>
          <c:yVal>
            <c:numRef>
              <c:f>'Vertical Chract.'!$B$4:$B$14</c:f>
              <c:numCache>
                <c:formatCode>General</c:formatCode>
                <c:ptCount val="11"/>
                <c:pt idx="0">
                  <c:v>0.81810000000000005</c:v>
                </c:pt>
                <c:pt idx="1">
                  <c:v>0.80530000000000002</c:v>
                </c:pt>
                <c:pt idx="2">
                  <c:v>0.63870000000000005</c:v>
                </c:pt>
                <c:pt idx="3">
                  <c:v>0.47089999999999999</c:v>
                </c:pt>
                <c:pt idx="4">
                  <c:v>0.28889999999999999</c:v>
                </c:pt>
                <c:pt idx="5">
                  <c:v>0</c:v>
                </c:pt>
                <c:pt idx="6">
                  <c:v>-0.28889999999999999</c:v>
                </c:pt>
                <c:pt idx="7">
                  <c:v>-0.47110000000000002</c:v>
                </c:pt>
                <c:pt idx="8">
                  <c:v>-0.63890000000000002</c:v>
                </c:pt>
                <c:pt idx="9">
                  <c:v>-0.80559999999999998</c:v>
                </c:pt>
                <c:pt idx="10">
                  <c:v>-0.87980000000000003</c:v>
                </c:pt>
              </c:numCache>
            </c:numRef>
          </c:yVal>
          <c:smooth val="1"/>
        </c:ser>
        <c:axId val="107142144"/>
        <c:axId val="107148032"/>
      </c:scatterChart>
      <c:valAx>
        <c:axId val="107142144"/>
        <c:scaling>
          <c:orientation val="minMax"/>
        </c:scaling>
        <c:axPos val="b"/>
        <c:numFmt formatCode="General" sourceLinked="1"/>
        <c:tickLblPos val="nextTo"/>
        <c:crossAx val="107148032"/>
        <c:crosses val="autoZero"/>
        <c:crossBetween val="midCat"/>
      </c:valAx>
      <c:valAx>
        <c:axId val="107148032"/>
        <c:scaling>
          <c:orientation val="minMax"/>
        </c:scaling>
        <c:axPos val="l"/>
        <c:majorGridlines/>
        <c:numFmt formatCode="General" sourceLinked="1"/>
        <c:tickLblPos val="nextTo"/>
        <c:crossAx val="107142144"/>
        <c:crosses val="autoZero"/>
        <c:crossBetween val="midCat"/>
      </c:valAx>
    </c:plotArea>
    <c:legend>
      <c:legendPos val="l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'Vertical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-8</c:v>
                </c:pt>
                <c:pt idx="10">
                  <c:v>-10</c:v>
                </c:pt>
              </c:numCache>
            </c:numRef>
          </c:xVal>
          <c:yVal>
            <c:numRef>
              <c:f>'Vertical Chract.'!$O$4:$O$14</c:f>
              <c:numCache>
                <c:formatCode>General</c:formatCode>
                <c:ptCount val="11"/>
                <c:pt idx="0">
                  <c:v>5.1509595403984837E-2</c:v>
                </c:pt>
                <c:pt idx="1">
                  <c:v>1.6043710418477585E-2</c:v>
                </c:pt>
                <c:pt idx="2">
                  <c:v>7.0612180992641301E-3</c:v>
                </c:pt>
                <c:pt idx="3">
                  <c:v>3.0792100233595241E-3</c:v>
                </c:pt>
                <c:pt idx="4">
                  <c:v>2.6652821045344407E-3</c:v>
                </c:pt>
                <c:pt idx="5">
                  <c:v>0</c:v>
                </c:pt>
                <c:pt idx="6">
                  <c:v>-2.7345102111457254E-3</c:v>
                </c:pt>
                <c:pt idx="7">
                  <c:v>-3.1840373593716833E-3</c:v>
                </c:pt>
                <c:pt idx="8">
                  <c:v>-7.1998747847863516E-3</c:v>
                </c:pt>
                <c:pt idx="9">
                  <c:v>-1.6149453823237341E-2</c:v>
                </c:pt>
                <c:pt idx="10">
                  <c:v>-6.1979995453512161E-2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'Horizontal Chract.'!$A$4:$A$14</c:f>
              <c:numCache>
                <c:formatCode>General</c:formatCode>
                <c:ptCount val="11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-2</c:v>
                </c:pt>
                <c:pt idx="7">
                  <c:v>-4</c:v>
                </c:pt>
                <c:pt idx="8">
                  <c:v>-6</c:v>
                </c:pt>
                <c:pt idx="9">
                  <c:v>-7</c:v>
                </c:pt>
                <c:pt idx="10">
                  <c:v>-10</c:v>
                </c:pt>
              </c:numCache>
            </c:numRef>
          </c:xVal>
          <c:yVal>
            <c:numRef>
              <c:f>'Horizontal Chract.'!$P$4:$P$14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107189376"/>
        <c:axId val="107190912"/>
      </c:scatterChart>
      <c:valAx>
        <c:axId val="107189376"/>
        <c:scaling>
          <c:orientation val="minMax"/>
        </c:scaling>
        <c:axPos val="b"/>
        <c:numFmt formatCode="General" sourceLinked="1"/>
        <c:tickLblPos val="nextTo"/>
        <c:crossAx val="107190912"/>
        <c:crosses val="autoZero"/>
        <c:crossBetween val="midCat"/>
      </c:valAx>
      <c:valAx>
        <c:axId val="107190912"/>
        <c:scaling>
          <c:orientation val="minMax"/>
        </c:scaling>
        <c:axPos val="l"/>
        <c:majorGridlines/>
        <c:numFmt formatCode="General" sourceLinked="1"/>
        <c:tickLblPos val="nextTo"/>
        <c:crossAx val="107189376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Takeoff Distance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Takeoff Distance</c:v>
          </c:tx>
          <c:marker>
            <c:symbol val="none"/>
          </c:marker>
          <c:xVal>
            <c:numRef>
              <c:f>'Take Off and Turn'!$M$2:$M$14</c:f>
              <c:numCache>
                <c:formatCode>General</c:formatCode>
                <c:ptCount val="13"/>
                <c:pt idx="0">
                  <c:v>52.651255072558818</c:v>
                </c:pt>
                <c:pt idx="1">
                  <c:v>46.855954616501137</c:v>
                </c:pt>
                <c:pt idx="2">
                  <c:v>42.209926587953348</c:v>
                </c:pt>
                <c:pt idx="3">
                  <c:v>38.402141102059467</c:v>
                </c:pt>
                <c:pt idx="4">
                  <c:v>35.224514294342214</c:v>
                </c:pt>
                <c:pt idx="5">
                  <c:v>32.532571396695516</c:v>
                </c:pt>
                <c:pt idx="6">
                  <c:v>30.222866561402476</c:v>
                </c:pt>
                <c:pt idx="7">
                  <c:v>28.21938376456961</c:v>
                </c:pt>
                <c:pt idx="8">
                  <c:v>26.46501037026853</c:v>
                </c:pt>
                <c:pt idx="9">
                  <c:v>24.916005024445187</c:v>
                </c:pt>
                <c:pt idx="10">
                  <c:v>23.538300900532061</c:v>
                </c:pt>
                <c:pt idx="11">
                  <c:v>22.304971131894387</c:v>
                </c:pt>
                <c:pt idx="12">
                  <c:v>21.194451390462628</c:v>
                </c:pt>
              </c:numCache>
            </c:numRef>
          </c:xVal>
          <c:yVal>
            <c:numRef>
              <c:f>'Take Off and Turn'!$L$2:$L$14</c:f>
              <c:numCache>
                <c:formatCode>General</c:formatCode>
                <c:ptCount val="13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</c:numCache>
            </c:numRef>
          </c:yVal>
          <c:smooth val="1"/>
        </c:ser>
        <c:axId val="107281024"/>
        <c:axId val="107291392"/>
      </c:scatterChart>
      <c:valAx>
        <c:axId val="107281024"/>
        <c:scaling>
          <c:orientation val="minMax"/>
          <c:min val="2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(ft)</a:t>
                </a:r>
              </a:p>
            </c:rich>
          </c:tx>
          <c:layout/>
        </c:title>
        <c:numFmt formatCode="General" sourceLinked="1"/>
        <c:tickLblPos val="nextTo"/>
        <c:crossAx val="107291392"/>
        <c:crosses val="autoZero"/>
        <c:crossBetween val="midCat"/>
      </c:valAx>
      <c:valAx>
        <c:axId val="107291392"/>
        <c:scaling>
          <c:orientation val="minMax"/>
          <c:min val="3.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Thrust (lb)</a:t>
                </a:r>
              </a:p>
            </c:rich>
          </c:tx>
          <c:layout/>
        </c:title>
        <c:numFmt formatCode="General" sourceLinked="1"/>
        <c:tickLblPos val="nextTo"/>
        <c:crossAx val="107281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34795467639716"/>
          <c:y val="0.2373270997375328"/>
          <c:w val="0.31969118494334547"/>
          <c:h val="7.5345472440944888E-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Cl, Cm vs Alpha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CL Exp</c:v>
          </c:tx>
          <c:marker>
            <c:symbol val="none"/>
          </c:marker>
          <c:xVal>
            <c:numRef>
              <c:f>'Xfoil vs Exp.'!$A$3:$A$19</c:f>
              <c:numCache>
                <c:formatCode>General</c:formatCode>
                <c:ptCount val="17"/>
                <c:pt idx="0">
                  <c:v>20.026599199464101</c:v>
                </c:pt>
                <c:pt idx="1">
                  <c:v>18.339630723137301</c:v>
                </c:pt>
                <c:pt idx="2">
                  <c:v>16.164316588884802</c:v>
                </c:pt>
                <c:pt idx="3">
                  <c:v>14.2109777536895</c:v>
                </c:pt>
                <c:pt idx="4">
                  <c:v>12.346414439281199</c:v>
                </c:pt>
                <c:pt idx="5">
                  <c:v>10.2599050234874</c:v>
                </c:pt>
                <c:pt idx="6">
                  <c:v>8.1289859490463492</c:v>
                </c:pt>
                <c:pt idx="7">
                  <c:v>6.0868569942281496</c:v>
                </c:pt>
                <c:pt idx="8">
                  <c:v>4.0891085003855201</c:v>
                </c:pt>
                <c:pt idx="9">
                  <c:v>1.9582040247803101</c:v>
                </c:pt>
                <c:pt idx="10">
                  <c:v>9.3640710372000002E-2</c:v>
                </c:pt>
                <c:pt idx="11">
                  <c:v>-2.2592390642903699</c:v>
                </c:pt>
                <c:pt idx="12">
                  <c:v>-4.3013680191085601</c:v>
                </c:pt>
                <c:pt idx="13">
                  <c:v>-6.3434969739267597</c:v>
                </c:pt>
                <c:pt idx="14">
                  <c:v>-8.2080602883350995</c:v>
                </c:pt>
                <c:pt idx="15">
                  <c:v>-10.383374422587501</c:v>
                </c:pt>
                <c:pt idx="16">
                  <c:v>-12.3811083175943</c:v>
                </c:pt>
              </c:numCache>
            </c:numRef>
          </c:xVal>
          <c:yVal>
            <c:numRef>
              <c:f>'Xfoil vs Exp.'!$B$3:$B$19</c:f>
              <c:numCache>
                <c:formatCode>General</c:formatCode>
                <c:ptCount val="17"/>
                <c:pt idx="0">
                  <c:v>1.28491791384615</c:v>
                </c:pt>
                <c:pt idx="1">
                  <c:v>1.35040090608695</c:v>
                </c:pt>
                <c:pt idx="2">
                  <c:v>1.3934321648160499</c:v>
                </c:pt>
                <c:pt idx="3">
                  <c:v>1.4214962164548399</c:v>
                </c:pt>
                <c:pt idx="4">
                  <c:v>1.38220691331103</c:v>
                </c:pt>
                <c:pt idx="5">
                  <c:v>1.28491791384615</c:v>
                </c:pt>
                <c:pt idx="6">
                  <c:v>1.14646863344481</c:v>
                </c:pt>
                <c:pt idx="7">
                  <c:v>0.98182627919732202</c:v>
                </c:pt>
                <c:pt idx="8">
                  <c:v>0.80221610260869403</c:v>
                </c:pt>
                <c:pt idx="9">
                  <c:v>0.60763810367892801</c:v>
                </c:pt>
                <c:pt idx="10">
                  <c:v>0.40183546849498097</c:v>
                </c:pt>
                <c:pt idx="11">
                  <c:v>0.22035431411371101</c:v>
                </c:pt>
                <c:pt idx="12">
                  <c:v>1.2680085886286101E-2</c:v>
                </c:pt>
                <c:pt idx="13">
                  <c:v>-0.19125218675585301</c:v>
                </c:pt>
                <c:pt idx="14">
                  <c:v>-0.39331348160535201</c:v>
                </c:pt>
                <c:pt idx="15">
                  <c:v>-0.61408455438127096</c:v>
                </c:pt>
                <c:pt idx="16">
                  <c:v>-0.83111305632107002</c:v>
                </c:pt>
              </c:numCache>
            </c:numRef>
          </c:yVal>
          <c:smooth val="1"/>
        </c:ser>
        <c:ser>
          <c:idx val="1"/>
          <c:order val="1"/>
          <c:tx>
            <c:v>CL XFOIL</c:v>
          </c:tx>
          <c:marker>
            <c:symbol val="none"/>
          </c:marker>
          <c:xVal>
            <c:numRef>
              <c:f>'Xfoil vs Exp.'!$J$3:$J$19</c:f>
              <c:numCache>
                <c:formatCode>General</c:formatCode>
                <c:ptCount val="17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</c:numCache>
            </c:numRef>
          </c:xVal>
          <c:yVal>
            <c:numRef>
              <c:f>'Xfoil vs Exp.'!$K$3:$K$19</c:f>
              <c:numCache>
                <c:formatCode>General</c:formatCode>
                <c:ptCount val="17"/>
                <c:pt idx="0">
                  <c:v>1.4515</c:v>
                </c:pt>
                <c:pt idx="1">
                  <c:v>1.4771000000000001</c:v>
                </c:pt>
                <c:pt idx="2">
                  <c:v>1.5206999999999999</c:v>
                </c:pt>
                <c:pt idx="3">
                  <c:v>1.5347</c:v>
                </c:pt>
                <c:pt idx="4">
                  <c:v>1.4914000000000001</c:v>
                </c:pt>
                <c:pt idx="5">
                  <c:v>1.3967000000000001</c:v>
                </c:pt>
                <c:pt idx="6">
                  <c:v>1.2713000000000001</c:v>
                </c:pt>
                <c:pt idx="7">
                  <c:v>1.1019000000000001</c:v>
                </c:pt>
                <c:pt idx="8">
                  <c:v>0.92949999999999999</c:v>
                </c:pt>
                <c:pt idx="9">
                  <c:v>0.68020000000000003</c:v>
                </c:pt>
                <c:pt idx="10">
                  <c:v>0.44919999999999999</c:v>
                </c:pt>
                <c:pt idx="11">
                  <c:v>0.24740000000000001</c:v>
                </c:pt>
                <c:pt idx="12">
                  <c:v>3.5200000000000002E-2</c:v>
                </c:pt>
                <c:pt idx="13">
                  <c:v>-0.1792</c:v>
                </c:pt>
                <c:pt idx="14">
                  <c:v>-0.39119999999999999</c:v>
                </c:pt>
                <c:pt idx="15">
                  <c:v>-0.63380000000000003</c:v>
                </c:pt>
                <c:pt idx="16">
                  <c:v>-0.87429999999999997</c:v>
                </c:pt>
              </c:numCache>
            </c:numRef>
          </c:yVal>
          <c:smooth val="1"/>
        </c:ser>
        <c:ser>
          <c:idx val="2"/>
          <c:order val="2"/>
          <c:tx>
            <c:v>CM Exp</c:v>
          </c:tx>
          <c:marker>
            <c:symbol val="none"/>
          </c:marker>
          <c:xVal>
            <c:numRef>
              <c:f>'Xfoil vs Exp.'!$D$3:$D$17</c:f>
              <c:numCache>
                <c:formatCode>General</c:formatCode>
                <c:ptCount val="15"/>
                <c:pt idx="0">
                  <c:v>20.441367338615301</c:v>
                </c:pt>
                <c:pt idx="1">
                  <c:v>18.4903313610616</c:v>
                </c:pt>
                <c:pt idx="2">
                  <c:v>16.2732390577223</c:v>
                </c:pt>
                <c:pt idx="3">
                  <c:v>14.322203080168601</c:v>
                </c:pt>
                <c:pt idx="4">
                  <c:v>12.326824381650701</c:v>
                </c:pt>
                <c:pt idx="5">
                  <c:v>10.1540747992756</c:v>
                </c:pt>
                <c:pt idx="6">
                  <c:v>8.1586961007576999</c:v>
                </c:pt>
                <c:pt idx="7">
                  <c:v>6.2076601232040201</c:v>
                </c:pt>
                <c:pt idx="8">
                  <c:v>4.2122814246860596</c:v>
                </c:pt>
                <c:pt idx="9">
                  <c:v>2.30557358647189</c:v>
                </c:pt>
                <c:pt idx="10">
                  <c:v>-4.4532298135464998E-2</c:v>
                </c:pt>
                <c:pt idx="11">
                  <c:v>-2.0842537176176799</c:v>
                </c:pt>
                <c:pt idx="12">
                  <c:v>-4.1683178580641904</c:v>
                </c:pt>
                <c:pt idx="13">
                  <c:v>-6.16369655658215</c:v>
                </c:pt>
                <c:pt idx="14">
                  <c:v>-7.9817189528677899</c:v>
                </c:pt>
              </c:numCache>
            </c:numRef>
          </c:xVal>
          <c:yVal>
            <c:numRef>
              <c:f>'Xfoil vs Exp.'!$E$3:$E$17</c:f>
              <c:numCache>
                <c:formatCode>General</c:formatCode>
                <c:ptCount val="15"/>
                <c:pt idx="0">
                  <c:v>-6.5861482803942897E-2</c:v>
                </c:pt>
                <c:pt idx="1">
                  <c:v>-6.7260815859238002E-2</c:v>
                </c:pt>
                <c:pt idx="2">
                  <c:v>-6.2129927989822399E-2</c:v>
                </c:pt>
                <c:pt idx="3">
                  <c:v>-5.8398526560887697E-2</c:v>
                </c:pt>
                <c:pt idx="4">
                  <c:v>-5.8864970912653101E-2</c:v>
                </c:pt>
                <c:pt idx="5">
                  <c:v>-6.3062816693352397E-2</c:v>
                </c:pt>
                <c:pt idx="6">
                  <c:v>-7.0992217288172205E-2</c:v>
                </c:pt>
                <c:pt idx="7">
                  <c:v>-7.8455173531227496E-2</c:v>
                </c:pt>
                <c:pt idx="8">
                  <c:v>-8.1253839641817996E-2</c:v>
                </c:pt>
                <c:pt idx="9">
                  <c:v>-8.7317462829577405E-2</c:v>
                </c:pt>
                <c:pt idx="10">
                  <c:v>-8.8250351533107896E-2</c:v>
                </c:pt>
                <c:pt idx="11">
                  <c:v>-8.8250351533107896E-2</c:v>
                </c:pt>
                <c:pt idx="12">
                  <c:v>-8.8250351533107896E-2</c:v>
                </c:pt>
                <c:pt idx="13">
                  <c:v>-9.1048864258511594E-2</c:v>
                </c:pt>
                <c:pt idx="14">
                  <c:v>-9.2448197313807101E-2</c:v>
                </c:pt>
              </c:numCache>
            </c:numRef>
          </c:yVal>
          <c:smooth val="1"/>
        </c:ser>
        <c:ser>
          <c:idx val="3"/>
          <c:order val="3"/>
          <c:tx>
            <c:v>CM XFOIL</c:v>
          </c:tx>
          <c:marker>
            <c:symbol val="none"/>
          </c:marker>
          <c:xVal>
            <c:numRef>
              <c:f>'Xfoil vs Exp.'!$J$3:$J$17</c:f>
              <c:numCache>
                <c:formatCode>General</c:formatCode>
                <c:ptCount val="15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</c:numCache>
            </c:numRef>
          </c:xVal>
          <c:yVal>
            <c:numRef>
              <c:f>'Xfoil vs Exp.'!$M$3:$M$17</c:f>
              <c:numCache>
                <c:formatCode>General</c:formatCode>
                <c:ptCount val="15"/>
                <c:pt idx="0">
                  <c:v>-3.7699999999999997E-2</c:v>
                </c:pt>
                <c:pt idx="1">
                  <c:v>-3.2500000000000001E-2</c:v>
                </c:pt>
                <c:pt idx="2">
                  <c:v>-3.2500000000000001E-2</c:v>
                </c:pt>
                <c:pt idx="3">
                  <c:v>-3.9399999999999998E-2</c:v>
                </c:pt>
                <c:pt idx="4">
                  <c:v>-5.2400000000000002E-2</c:v>
                </c:pt>
                <c:pt idx="5">
                  <c:v>-6.7500000000000004E-2</c:v>
                </c:pt>
                <c:pt idx="6">
                  <c:v>-8.3099999999999993E-2</c:v>
                </c:pt>
                <c:pt idx="7">
                  <c:v>-9.2499999999999999E-2</c:v>
                </c:pt>
                <c:pt idx="8">
                  <c:v>-0.1021</c:v>
                </c:pt>
                <c:pt idx="9">
                  <c:v>-9.5399999999999999E-2</c:v>
                </c:pt>
                <c:pt idx="10">
                  <c:v>-9.6600000000000005E-2</c:v>
                </c:pt>
                <c:pt idx="11">
                  <c:v>-0.10150000000000001</c:v>
                </c:pt>
                <c:pt idx="12">
                  <c:v>-0.1045</c:v>
                </c:pt>
                <c:pt idx="13">
                  <c:v>-0.10730000000000001</c:v>
                </c:pt>
                <c:pt idx="14">
                  <c:v>-0.10979999999999999</c:v>
                </c:pt>
              </c:numCache>
            </c:numRef>
          </c:yVal>
          <c:smooth val="1"/>
        </c:ser>
        <c:ser>
          <c:idx val="4"/>
          <c:order val="4"/>
          <c:tx>
            <c:v>Linearlized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'Xfoil vs Exp.'!$O$3:$O$16</c:f>
              <c:numCache>
                <c:formatCode>General</c:formatCode>
                <c:ptCount val="14"/>
                <c:pt idx="0">
                  <c:v>14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-2</c:v>
                </c:pt>
                <c:pt idx="9">
                  <c:v>-4</c:v>
                </c:pt>
                <c:pt idx="10">
                  <c:v>-6</c:v>
                </c:pt>
                <c:pt idx="11">
                  <c:v>-8</c:v>
                </c:pt>
                <c:pt idx="12">
                  <c:v>-10</c:v>
                </c:pt>
                <c:pt idx="13">
                  <c:v>-12</c:v>
                </c:pt>
              </c:numCache>
            </c:numRef>
          </c:xVal>
          <c:yVal>
            <c:numRef>
              <c:f>'Xfoil vs Exp.'!$P$3:$P$16</c:f>
              <c:numCache>
                <c:formatCode>General</c:formatCode>
                <c:ptCount val="14"/>
                <c:pt idx="0">
                  <c:v>1.5377256017505467</c:v>
                </c:pt>
                <c:pt idx="1">
                  <c:v>1.4500256017505468</c:v>
                </c:pt>
                <c:pt idx="2">
                  <c:v>1.362325601750547</c:v>
                </c:pt>
                <c:pt idx="3">
                  <c:v>1.2746256017505471</c:v>
                </c:pt>
                <c:pt idx="4">
                  <c:v>1.0675942013129103</c:v>
                </c:pt>
                <c:pt idx="5">
                  <c:v>0.86056280087527359</c:v>
                </c:pt>
                <c:pt idx="6">
                  <c:v>0.65353140043763669</c:v>
                </c:pt>
                <c:pt idx="7">
                  <c:v>0.44649999999999995</c:v>
                </c:pt>
                <c:pt idx="8">
                  <c:v>0.23946859956236324</c:v>
                </c:pt>
                <c:pt idx="9">
                  <c:v>3.2437199124726507E-2</c:v>
                </c:pt>
                <c:pt idx="10">
                  <c:v>-0.17459420131291023</c:v>
                </c:pt>
                <c:pt idx="11">
                  <c:v>-0.38162560175054699</c:v>
                </c:pt>
                <c:pt idx="12">
                  <c:v>-0.58865700218818373</c:v>
                </c:pt>
                <c:pt idx="13">
                  <c:v>-0.79568840262582041</c:v>
                </c:pt>
              </c:numCache>
            </c:numRef>
          </c:yVal>
          <c:smooth val="1"/>
        </c:ser>
        <c:axId val="107401600"/>
        <c:axId val="107403520"/>
      </c:scatterChart>
      <c:valAx>
        <c:axId val="107401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Angle of Attack (degree)</a:t>
                </a:r>
              </a:p>
            </c:rich>
          </c:tx>
          <c:layout>
            <c:manualLayout>
              <c:xMode val="edge"/>
              <c:yMode val="edge"/>
              <c:x val="0.4478215223097114"/>
              <c:y val="0.92917052832510771"/>
            </c:manualLayout>
          </c:layout>
        </c:title>
        <c:numFmt formatCode="General" sourceLinked="1"/>
        <c:minorTickMark val="cross"/>
        <c:tickLblPos val="nextTo"/>
        <c:crossAx val="107403520"/>
        <c:crossesAt val="0"/>
        <c:crossBetween val="midCat"/>
      </c:valAx>
      <c:valAx>
        <c:axId val="1074035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Coefficient</a:t>
                </a:r>
              </a:p>
            </c:rich>
          </c:tx>
          <c:layout>
            <c:manualLayout>
              <c:xMode val="edge"/>
              <c:yMode val="edge"/>
              <c:x val="1.7897091722595078E-2"/>
              <c:y val="0.38544248954526639"/>
            </c:manualLayout>
          </c:layout>
        </c:title>
        <c:numFmt formatCode="General" sourceLinked="1"/>
        <c:minorTickMark val="cross"/>
        <c:tickLblPos val="nextTo"/>
        <c:crossAx val="107401600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13586129753914994"/>
          <c:y val="0.21876929259440672"/>
          <c:w val="0.16504483080554533"/>
          <c:h val="0.2884037222619899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Drag Polar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Exp</c:v>
          </c:tx>
          <c:marker>
            <c:symbol val="none"/>
          </c:marker>
          <c:xVal>
            <c:numRef>
              <c:f>'Xfoil vs Exp.'!$G$3:$G$15</c:f>
              <c:numCache>
                <c:formatCode>General</c:formatCode>
                <c:ptCount val="13"/>
                <c:pt idx="0">
                  <c:v>1.3961865314025299</c:v>
                </c:pt>
                <c:pt idx="1">
                  <c:v>1.2929018412772799</c:v>
                </c:pt>
                <c:pt idx="2">
                  <c:v>1.1582635308856399</c:v>
                </c:pt>
                <c:pt idx="3">
                  <c:v>0.98858218979950796</c:v>
                </c:pt>
                <c:pt idx="4">
                  <c:v>0.79123542585175699</c:v>
                </c:pt>
                <c:pt idx="5">
                  <c:v>0.61233207497453002</c:v>
                </c:pt>
                <c:pt idx="6">
                  <c:v>0.37256467249941599</c:v>
                </c:pt>
                <c:pt idx="7">
                  <c:v>0.20841653728793599</c:v>
                </c:pt>
                <c:pt idx="8">
                  <c:v>-1.6595649521429199E-2</c:v>
                </c:pt>
                <c:pt idx="9">
                  <c:v>-0.189965794524001</c:v>
                </c:pt>
                <c:pt idx="10">
                  <c:v>-0.43711019832032899</c:v>
                </c:pt>
                <c:pt idx="11">
                  <c:v>-0.62154675507221102</c:v>
                </c:pt>
                <c:pt idx="12">
                  <c:v>-0.83364873468570799</c:v>
                </c:pt>
              </c:numCache>
            </c:numRef>
          </c:xVal>
          <c:yVal>
            <c:numRef>
              <c:f>'Xfoil vs Exp.'!$H$3:$H$15</c:f>
              <c:numCache>
                <c:formatCode>General</c:formatCode>
                <c:ptCount val="13"/>
                <c:pt idx="0">
                  <c:v>1.99110562635294E-2</c:v>
                </c:pt>
                <c:pt idx="1">
                  <c:v>1.33798449317647E-2</c:v>
                </c:pt>
                <c:pt idx="2">
                  <c:v>1.0282185261176399E-2</c:v>
                </c:pt>
                <c:pt idx="3">
                  <c:v>8.8453122635294094E-3</c:v>
                </c:pt>
                <c:pt idx="4">
                  <c:v>7.8936254494117696E-3</c:v>
                </c:pt>
                <c:pt idx="5">
                  <c:v>7.55773345882353E-3</c:v>
                </c:pt>
                <c:pt idx="6">
                  <c:v>7.52041144470588E-3</c:v>
                </c:pt>
                <c:pt idx="7">
                  <c:v>7.5390724517647098E-3</c:v>
                </c:pt>
                <c:pt idx="8">
                  <c:v>8.0615683764705907E-3</c:v>
                </c:pt>
                <c:pt idx="9">
                  <c:v>8.3041553317646996E-3</c:v>
                </c:pt>
                <c:pt idx="10">
                  <c:v>9.2185262682352997E-3</c:v>
                </c:pt>
                <c:pt idx="11">
                  <c:v>1.0543433223529399E-2</c:v>
                </c:pt>
                <c:pt idx="12">
                  <c:v>1.2894671021176401E-2</c:v>
                </c:pt>
              </c:numCache>
            </c:numRef>
          </c:yVal>
          <c:smooth val="1"/>
        </c:ser>
        <c:ser>
          <c:idx val="1"/>
          <c:order val="1"/>
          <c:tx>
            <c:v>XFOIL</c:v>
          </c:tx>
          <c:marker>
            <c:symbol val="none"/>
          </c:marker>
          <c:xVal>
            <c:numRef>
              <c:f>'Xfoil vs Exp.'!$K$7:$K$19</c:f>
              <c:numCache>
                <c:formatCode>General</c:formatCode>
                <c:ptCount val="13"/>
                <c:pt idx="0">
                  <c:v>1.4914000000000001</c:v>
                </c:pt>
                <c:pt idx="1">
                  <c:v>1.3967000000000001</c:v>
                </c:pt>
                <c:pt idx="2">
                  <c:v>1.2713000000000001</c:v>
                </c:pt>
                <c:pt idx="3">
                  <c:v>1.1019000000000001</c:v>
                </c:pt>
                <c:pt idx="4">
                  <c:v>0.92949999999999999</c:v>
                </c:pt>
                <c:pt idx="5">
                  <c:v>0.68020000000000003</c:v>
                </c:pt>
                <c:pt idx="6">
                  <c:v>0.44919999999999999</c:v>
                </c:pt>
                <c:pt idx="7">
                  <c:v>0.24740000000000001</c:v>
                </c:pt>
                <c:pt idx="8">
                  <c:v>3.5200000000000002E-2</c:v>
                </c:pt>
                <c:pt idx="9">
                  <c:v>-0.1792</c:v>
                </c:pt>
                <c:pt idx="10">
                  <c:v>-0.39119999999999999</c:v>
                </c:pt>
                <c:pt idx="11">
                  <c:v>-0.63380000000000003</c:v>
                </c:pt>
                <c:pt idx="12">
                  <c:v>-0.87429999999999997</c:v>
                </c:pt>
              </c:numCache>
            </c:numRef>
          </c:xVal>
          <c:yVal>
            <c:numRef>
              <c:f>'Xfoil vs Exp.'!$L$7:$L$19</c:f>
              <c:numCache>
                <c:formatCode>General</c:formatCode>
                <c:ptCount val="13"/>
                <c:pt idx="0">
                  <c:v>2.4879999999999999E-2</c:v>
                </c:pt>
                <c:pt idx="1">
                  <c:v>1.8960000000000001E-2</c:v>
                </c:pt>
                <c:pt idx="2">
                  <c:v>1.6199999999999999E-2</c:v>
                </c:pt>
                <c:pt idx="3">
                  <c:v>1.4290000000000001E-2</c:v>
                </c:pt>
                <c:pt idx="4">
                  <c:v>1.281E-2</c:v>
                </c:pt>
                <c:pt idx="5">
                  <c:v>1.1509999999999999E-2</c:v>
                </c:pt>
                <c:pt idx="6">
                  <c:v>1.0869999999999999E-2</c:v>
                </c:pt>
                <c:pt idx="7">
                  <c:v>1.187E-2</c:v>
                </c:pt>
                <c:pt idx="8">
                  <c:v>1.3010000000000001E-2</c:v>
                </c:pt>
                <c:pt idx="9">
                  <c:v>1.508E-2</c:v>
                </c:pt>
                <c:pt idx="10">
                  <c:v>1.864E-2</c:v>
                </c:pt>
                <c:pt idx="11">
                  <c:v>2.3810000000000001E-2</c:v>
                </c:pt>
                <c:pt idx="12">
                  <c:v>3.134E-2</c:v>
                </c:pt>
              </c:numCache>
            </c:numRef>
          </c:yVal>
          <c:smooth val="1"/>
        </c:ser>
        <c:axId val="107420672"/>
        <c:axId val="107426944"/>
      </c:scatterChart>
      <c:valAx>
        <c:axId val="107420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Lift Coefficient</a:t>
                </a:r>
              </a:p>
            </c:rich>
          </c:tx>
          <c:layout/>
        </c:title>
        <c:numFmt formatCode="General" sourceLinked="1"/>
        <c:minorTickMark val="cross"/>
        <c:tickLblPos val="nextTo"/>
        <c:crossAx val="107426944"/>
        <c:crosses val="autoZero"/>
        <c:crossBetween val="midCat"/>
      </c:valAx>
      <c:valAx>
        <c:axId val="1074269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Drag Coefficient</a:t>
                </a:r>
              </a:p>
            </c:rich>
          </c:tx>
          <c:layout>
            <c:manualLayout>
              <c:xMode val="edge"/>
              <c:yMode val="edge"/>
              <c:x val="1.2345679012345684E-2"/>
              <c:y val="0.36943305750903277"/>
            </c:manualLayout>
          </c:layout>
        </c:title>
        <c:numFmt formatCode="General" sourceLinked="1"/>
        <c:minorTickMark val="cross"/>
        <c:tickLblPos val="nextTo"/>
        <c:crossAx val="107420672"/>
        <c:crossesAt val="-1"/>
        <c:crossBetween val="midCat"/>
      </c:valAx>
    </c:plotArea>
    <c:legend>
      <c:legendPos val="r"/>
      <c:layout>
        <c:manualLayout>
          <c:xMode val="edge"/>
          <c:yMode val="edge"/>
          <c:x val="0.41068980814017969"/>
          <c:y val="0.21894162983610299"/>
          <c:w val="0.17166666666666666"/>
          <c:h val="0.16274400514563553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1'!$P$4:$P$23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1'!$R$4:$R$23</c:f>
              <c:numCache>
                <c:formatCode>General</c:formatCode>
                <c:ptCount val="20"/>
                <c:pt idx="3">
                  <c:v>0.35202257251102814</c:v>
                </c:pt>
                <c:pt idx="4">
                  <c:v>0.32138485480102758</c:v>
                </c:pt>
                <c:pt idx="5">
                  <c:v>0.29074713709102701</c:v>
                </c:pt>
                <c:pt idx="6">
                  <c:v>0.26010941938102644</c:v>
                </c:pt>
                <c:pt idx="7">
                  <c:v>0.21786107815242037</c:v>
                </c:pt>
                <c:pt idx="8">
                  <c:v>0.17561273692381429</c:v>
                </c:pt>
                <c:pt idx="9">
                  <c:v>0.13336439569520817</c:v>
                </c:pt>
                <c:pt idx="10">
                  <c:v>9.1116054466602092E-2</c:v>
                </c:pt>
                <c:pt idx="11">
                  <c:v>4.8867713237996005E-2</c:v>
                </c:pt>
                <c:pt idx="12">
                  <c:v>6.6193720093899169E-3</c:v>
                </c:pt>
                <c:pt idx="13">
                  <c:v>-3.5628969219216169E-2</c:v>
                </c:pt>
                <c:pt idx="14">
                  <c:v>-7.7877310447822257E-2</c:v>
                </c:pt>
                <c:pt idx="15">
                  <c:v>-0.12012565167642834</c:v>
                </c:pt>
                <c:pt idx="16">
                  <c:v>-0.16237399290503443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'Wing Mid.'!$P$4:$P$23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Mid.'!$Q$4:$Q$23</c:f>
              <c:numCache>
                <c:formatCode>General</c:formatCode>
                <c:ptCount val="20"/>
                <c:pt idx="3">
                  <c:v>1.5377256017505467</c:v>
                </c:pt>
                <c:pt idx="4">
                  <c:v>1.4500256017505468</c:v>
                </c:pt>
                <c:pt idx="5">
                  <c:v>1.362325601750547</c:v>
                </c:pt>
                <c:pt idx="6">
                  <c:v>1.2746256017505471</c:v>
                </c:pt>
                <c:pt idx="7">
                  <c:v>1.0675942013129103</c:v>
                </c:pt>
                <c:pt idx="8">
                  <c:v>0.86056280087527359</c:v>
                </c:pt>
                <c:pt idx="9">
                  <c:v>0.65353140043763669</c:v>
                </c:pt>
                <c:pt idx="10">
                  <c:v>0.44649999999999995</c:v>
                </c:pt>
                <c:pt idx="11">
                  <c:v>0.23946859956236324</c:v>
                </c:pt>
                <c:pt idx="12">
                  <c:v>3.2437199124726507E-2</c:v>
                </c:pt>
                <c:pt idx="13">
                  <c:v>-0.17459420131291023</c:v>
                </c:pt>
                <c:pt idx="14">
                  <c:v>-0.38162560175054699</c:v>
                </c:pt>
                <c:pt idx="15">
                  <c:v>-0.58865700218818373</c:v>
                </c:pt>
                <c:pt idx="16">
                  <c:v>-0.79568840262582041</c:v>
                </c:pt>
              </c:numCache>
            </c:numRef>
          </c:yVal>
          <c:smooth val="1"/>
        </c:ser>
        <c:axId val="107486208"/>
        <c:axId val="107500288"/>
      </c:scatterChart>
      <c:valAx>
        <c:axId val="107486208"/>
        <c:scaling>
          <c:orientation val="minMax"/>
        </c:scaling>
        <c:axPos val="b"/>
        <c:numFmt formatCode="General" sourceLinked="1"/>
        <c:tickLblPos val="nextTo"/>
        <c:crossAx val="107500288"/>
        <c:crosses val="autoZero"/>
        <c:crossBetween val="midCat"/>
      </c:valAx>
      <c:valAx>
        <c:axId val="107500288"/>
        <c:scaling>
          <c:orientation val="minMax"/>
        </c:scaling>
        <c:axPos val="l"/>
        <c:majorGridlines/>
        <c:numFmt formatCode="General" sourceLinked="1"/>
        <c:tickLblPos val="nextTo"/>
        <c:crossAx val="107486208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1'!$P$4:$P$23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1'!$S$4:$S$23</c:f>
              <c:numCache>
                <c:formatCode>General</c:formatCode>
                <c:ptCount val="20"/>
              </c:numCache>
            </c:numRef>
          </c:yVal>
          <c:smooth val="1"/>
        </c:ser>
        <c:axId val="107529344"/>
        <c:axId val="107530880"/>
      </c:scatterChart>
      <c:valAx>
        <c:axId val="107529344"/>
        <c:scaling>
          <c:orientation val="minMax"/>
        </c:scaling>
        <c:axPos val="b"/>
        <c:numFmt formatCode="General" sourceLinked="1"/>
        <c:tickLblPos val="nextTo"/>
        <c:crossAx val="107530880"/>
        <c:crosses val="autoZero"/>
        <c:crossBetween val="midCat"/>
      </c:valAx>
      <c:valAx>
        <c:axId val="107530880"/>
        <c:scaling>
          <c:orientation val="minMax"/>
        </c:scaling>
        <c:axPos val="l"/>
        <c:majorGridlines/>
        <c:numFmt formatCode="General" sourceLinked="1"/>
        <c:tickLblPos val="nextTo"/>
        <c:crossAx val="107529344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999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46E-2"/>
          <c:w val="0.87469230788477859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1'!$S$4:$S$23</c:f>
              <c:numCache>
                <c:formatCode>General</c:formatCode>
                <c:ptCount val="20"/>
              </c:numCache>
            </c:numRef>
          </c:xVal>
          <c:yVal>
            <c:numRef>
              <c:f>'Optional 1'!$R$4:$R$23</c:f>
              <c:numCache>
                <c:formatCode>General</c:formatCode>
                <c:ptCount val="20"/>
                <c:pt idx="3">
                  <c:v>0.35202257251102814</c:v>
                </c:pt>
                <c:pt idx="4">
                  <c:v>0.32138485480102758</c:v>
                </c:pt>
                <c:pt idx="5">
                  <c:v>0.29074713709102701</c:v>
                </c:pt>
                <c:pt idx="6">
                  <c:v>0.26010941938102644</c:v>
                </c:pt>
                <c:pt idx="7">
                  <c:v>0.21786107815242037</c:v>
                </c:pt>
                <c:pt idx="8">
                  <c:v>0.17561273692381429</c:v>
                </c:pt>
                <c:pt idx="9">
                  <c:v>0.13336439569520817</c:v>
                </c:pt>
                <c:pt idx="10">
                  <c:v>9.1116054466602092E-2</c:v>
                </c:pt>
                <c:pt idx="11">
                  <c:v>4.8867713237996005E-2</c:v>
                </c:pt>
                <c:pt idx="12">
                  <c:v>6.6193720093899169E-3</c:v>
                </c:pt>
                <c:pt idx="13">
                  <c:v>-3.5628969219216169E-2</c:v>
                </c:pt>
                <c:pt idx="14">
                  <c:v>-7.7877310447822257E-2</c:v>
                </c:pt>
                <c:pt idx="15">
                  <c:v>-0.12012565167642834</c:v>
                </c:pt>
                <c:pt idx="16">
                  <c:v>-0.16237399290503443</c:v>
                </c:pt>
              </c:numCache>
            </c:numRef>
          </c:yVal>
          <c:smooth val="1"/>
        </c:ser>
        <c:axId val="107551744"/>
        <c:axId val="107574016"/>
      </c:scatterChart>
      <c:valAx>
        <c:axId val="107551744"/>
        <c:scaling>
          <c:orientation val="minMax"/>
        </c:scaling>
        <c:axPos val="b"/>
        <c:numFmt formatCode="General" sourceLinked="1"/>
        <c:tickLblPos val="nextTo"/>
        <c:crossAx val="107574016"/>
        <c:crosses val="autoZero"/>
        <c:crossBetween val="midCat"/>
      </c:valAx>
      <c:valAx>
        <c:axId val="107574016"/>
        <c:scaling>
          <c:orientation val="minMax"/>
        </c:scaling>
        <c:axPos val="l"/>
        <c:majorGridlines/>
        <c:numFmt formatCode="General" sourceLinked="1"/>
        <c:tickLblPos val="nextTo"/>
        <c:crossAx val="1075517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(Ref)'!$M$4:$M$23</c:f>
              <c:numCache>
                <c:formatCode>General</c:formatCode>
                <c:ptCount val="20"/>
                <c:pt idx="0">
                  <c:v>12.669228753602935</c:v>
                </c:pt>
                <c:pt idx="1">
                  <c:v>16.903640748822788</c:v>
                </c:pt>
                <c:pt idx="2">
                  <c:v>25.578680203045685</c:v>
                </c:pt>
                <c:pt idx="3">
                  <c:v>40.450450450450447</c:v>
                </c:pt>
                <c:pt idx="4">
                  <c:v>57.819169577027552</c:v>
                </c:pt>
                <c:pt idx="5">
                  <c:v>69.662195727769515</c:v>
                </c:pt>
                <c:pt idx="6">
                  <c:v>73.106407322654462</c:v>
                </c:pt>
                <c:pt idx="7">
                  <c:v>71.381748071979445</c:v>
                </c:pt>
                <c:pt idx="8">
                  <c:v>67.407675597393194</c:v>
                </c:pt>
                <c:pt idx="9">
                  <c:v>56.096979332273456</c:v>
                </c:pt>
                <c:pt idx="10">
                  <c:v>38.524590163934427</c:v>
                </c:pt>
                <c:pt idx="11">
                  <c:v>19.342723004694836</c:v>
                </c:pt>
                <c:pt idx="12">
                  <c:v>2.3429781227946367</c:v>
                </c:pt>
                <c:pt idx="13">
                  <c:v>-10.66865671641791</c:v>
                </c:pt>
                <c:pt idx="14">
                  <c:v>-19.523355576739753</c:v>
                </c:pt>
                <c:pt idx="15">
                  <c:v>-24.437568256279576</c:v>
                </c:pt>
                <c:pt idx="16">
                  <c:v>-23.554313099041533</c:v>
                </c:pt>
                <c:pt idx="17">
                  <c:v>-14.928492849284929</c:v>
                </c:pt>
                <c:pt idx="18">
                  <c:v>-1.4014798234160293</c:v>
                </c:pt>
                <c:pt idx="19">
                  <c:v>-1.2820661974288872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1'!$P$4:$P$23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1'!$U$4:$U$23</c:f>
              <c:numCache>
                <c:formatCode>General</c:formatCode>
                <c:ptCount val="20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107598976"/>
        <c:axId val="107600512"/>
      </c:scatterChart>
      <c:valAx>
        <c:axId val="107598976"/>
        <c:scaling>
          <c:orientation val="minMax"/>
        </c:scaling>
        <c:axPos val="b"/>
        <c:numFmt formatCode="General" sourceLinked="1"/>
        <c:tickLblPos val="nextTo"/>
        <c:crossAx val="107600512"/>
        <c:crosses val="autoZero"/>
        <c:crossBetween val="midCat"/>
      </c:valAx>
      <c:valAx>
        <c:axId val="107600512"/>
        <c:scaling>
          <c:orientation val="minMax"/>
        </c:scaling>
        <c:axPos val="l"/>
        <c:majorGridlines/>
        <c:numFmt formatCode="General" sourceLinked="1"/>
        <c:tickLblPos val="nextTo"/>
        <c:crossAx val="10759897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903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(Ref)'!$E$4:$E$23</c:f>
              <c:numCache>
                <c:formatCode>General</c:formatCode>
                <c:ptCount val="20"/>
                <c:pt idx="0">
                  <c:v>-3.5799999999999998E-2</c:v>
                </c:pt>
                <c:pt idx="1">
                  <c:v>-3.09E-2</c:v>
                </c:pt>
                <c:pt idx="2">
                  <c:v>-3.0800000000000001E-2</c:v>
                </c:pt>
                <c:pt idx="3">
                  <c:v>-3.7900000000000003E-2</c:v>
                </c:pt>
                <c:pt idx="4">
                  <c:v>-5.1999999999999998E-2</c:v>
                </c:pt>
                <c:pt idx="5">
                  <c:v>-6.8599999999999994E-2</c:v>
                </c:pt>
                <c:pt idx="6">
                  <c:v>-8.4699999999999998E-2</c:v>
                </c:pt>
                <c:pt idx="7">
                  <c:v>-9.4600000000000004E-2</c:v>
                </c:pt>
                <c:pt idx="8">
                  <c:v>-0.1026</c:v>
                </c:pt>
                <c:pt idx="9">
                  <c:v>-0.10050000000000001</c:v>
                </c:pt>
                <c:pt idx="10">
                  <c:v>-9.6199999999999994E-2</c:v>
                </c:pt>
                <c:pt idx="11">
                  <c:v>-0.1019</c:v>
                </c:pt>
                <c:pt idx="12">
                  <c:v>-0.10489999999999999</c:v>
                </c:pt>
                <c:pt idx="13">
                  <c:v>-0.1081</c:v>
                </c:pt>
                <c:pt idx="14">
                  <c:v>-0.10730000000000001</c:v>
                </c:pt>
                <c:pt idx="15">
                  <c:v>-9.7299999999999998E-2</c:v>
                </c:pt>
                <c:pt idx="16">
                  <c:v>-8.8499999999999995E-2</c:v>
                </c:pt>
                <c:pt idx="17">
                  <c:v>-9.8699999999999996E-2</c:v>
                </c:pt>
                <c:pt idx="18">
                  <c:v>-4.1399999999999999E-2</c:v>
                </c:pt>
                <c:pt idx="19">
                  <c:v>-4.2200000000000001E-2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axId val="107690240"/>
        <c:axId val="107708416"/>
      </c:scatterChart>
      <c:valAx>
        <c:axId val="107690240"/>
        <c:scaling>
          <c:orientation val="minMax"/>
        </c:scaling>
        <c:axPos val="b"/>
        <c:numFmt formatCode="General" sourceLinked="1"/>
        <c:tickLblPos val="nextTo"/>
        <c:crossAx val="107708416"/>
        <c:crosses val="autoZero"/>
        <c:crossBetween val="midCat"/>
      </c:valAx>
      <c:valAx>
        <c:axId val="107708416"/>
        <c:scaling>
          <c:orientation val="minMax"/>
        </c:scaling>
        <c:axPos val="l"/>
        <c:majorGridlines/>
        <c:numFmt formatCode="General" sourceLinked="1"/>
        <c:tickLblPos val="nextTo"/>
        <c:crossAx val="107690240"/>
        <c:crosses val="autoZero"/>
        <c:crossBetween val="midCat"/>
      </c:valAx>
    </c:plotArea>
    <c:legend>
      <c:legendPos val="l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(Ref)'!$O$4:$O$23</c:f>
              <c:numCache>
                <c:formatCode>General</c:formatCode>
                <c:ptCount val="20"/>
                <c:pt idx="0">
                  <c:v>7.8931402964494995E-2</c:v>
                </c:pt>
                <c:pt idx="1">
                  <c:v>5.9158853105041438E-2</c:v>
                </c:pt>
                <c:pt idx="2">
                  <c:v>3.9095058543361781E-2</c:v>
                </c:pt>
                <c:pt idx="3">
                  <c:v>2.472160356347439E-2</c:v>
                </c:pt>
                <c:pt idx="4">
                  <c:v>1.729530201342282E-2</c:v>
                </c:pt>
                <c:pt idx="5">
                  <c:v>1.4354988233616198E-2</c:v>
                </c:pt>
                <c:pt idx="6">
                  <c:v>1.3678691603411848E-2</c:v>
                </c:pt>
                <c:pt idx="7">
                  <c:v>1.4009183397857205E-2</c:v>
                </c:pt>
                <c:pt idx="8">
                  <c:v>1.4835105811580191E-2</c:v>
                </c:pt>
                <c:pt idx="9">
                  <c:v>1.7826271786878276E-2</c:v>
                </c:pt>
                <c:pt idx="10">
                  <c:v>2.5957446808510639E-2</c:v>
                </c:pt>
                <c:pt idx="11">
                  <c:v>5.1699029126213589E-2</c:v>
                </c:pt>
                <c:pt idx="12">
                  <c:v>0.42680722891566264</c:v>
                </c:pt>
                <c:pt idx="13">
                  <c:v>-9.3732512590934527E-2</c:v>
                </c:pt>
                <c:pt idx="14">
                  <c:v>-5.1220703124999996E-2</c:v>
                </c:pt>
                <c:pt idx="15">
                  <c:v>-4.0920601817369284E-2</c:v>
                </c:pt>
                <c:pt idx="16">
                  <c:v>-4.2455069515089865E-2</c:v>
                </c:pt>
                <c:pt idx="17">
                  <c:v>-6.6985998526160648E-2</c:v>
                </c:pt>
                <c:pt idx="18">
                  <c:v>-0.71353149955634432</c:v>
                </c:pt>
                <c:pt idx="19">
                  <c:v>-0.77999092558983674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'Optional 1'!$P$4:$P$23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1'!$V$4:$V$23</c:f>
              <c:numCache>
                <c:formatCode>General</c:formatCode>
                <c:ptCount val="20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107733376"/>
        <c:axId val="107734912"/>
      </c:scatterChart>
      <c:valAx>
        <c:axId val="107733376"/>
        <c:scaling>
          <c:orientation val="minMax"/>
        </c:scaling>
        <c:axPos val="b"/>
        <c:numFmt formatCode="General" sourceLinked="1"/>
        <c:tickLblPos val="nextTo"/>
        <c:crossAx val="107734912"/>
        <c:crosses val="autoZero"/>
        <c:crossBetween val="midCat"/>
      </c:valAx>
      <c:valAx>
        <c:axId val="107734912"/>
        <c:scaling>
          <c:orientation val="minMax"/>
        </c:scaling>
        <c:axPos val="l"/>
        <c:majorGridlines/>
        <c:numFmt formatCode="General" sourceLinked="1"/>
        <c:tickLblPos val="nextTo"/>
        <c:crossAx val="107733376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2'!$P$4:$P$23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2'!$R$4:$R$23</c:f>
              <c:numCache>
                <c:formatCode>General</c:formatCode>
                <c:ptCount val="20"/>
                <c:pt idx="3">
                  <c:v>0.99922291807917096</c:v>
                </c:pt>
                <c:pt idx="4">
                  <c:v>0.9286239247461805</c:v>
                </c:pt>
                <c:pt idx="5">
                  <c:v>0.85802493141318992</c:v>
                </c:pt>
                <c:pt idx="6">
                  <c:v>0.78742593808019945</c:v>
                </c:pt>
                <c:pt idx="7">
                  <c:v>0.65952807185362095</c:v>
                </c:pt>
                <c:pt idx="8">
                  <c:v>0.53163020562704255</c:v>
                </c:pt>
                <c:pt idx="9">
                  <c:v>0.40373233940046405</c:v>
                </c:pt>
                <c:pt idx="10">
                  <c:v>0.2758344731738856</c:v>
                </c:pt>
                <c:pt idx="11">
                  <c:v>0.14793660694730715</c:v>
                </c:pt>
                <c:pt idx="12">
                  <c:v>2.0038740720728688E-2</c:v>
                </c:pt>
                <c:pt idx="13">
                  <c:v>-0.10785912550584976</c:v>
                </c:pt>
                <c:pt idx="14">
                  <c:v>-0.2357569917324282</c:v>
                </c:pt>
                <c:pt idx="15">
                  <c:v>-0.36365485795900665</c:v>
                </c:pt>
                <c:pt idx="16">
                  <c:v>-0.4915527241855851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'Wing Mid.'!$P$4:$P$23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Mid.'!$Q$4:$Q$23</c:f>
              <c:numCache>
                <c:formatCode>General</c:formatCode>
                <c:ptCount val="20"/>
                <c:pt idx="3">
                  <c:v>1.5377256017505467</c:v>
                </c:pt>
                <c:pt idx="4">
                  <c:v>1.4500256017505468</c:v>
                </c:pt>
                <c:pt idx="5">
                  <c:v>1.362325601750547</c:v>
                </c:pt>
                <c:pt idx="6">
                  <c:v>1.2746256017505471</c:v>
                </c:pt>
                <c:pt idx="7">
                  <c:v>1.0675942013129103</c:v>
                </c:pt>
                <c:pt idx="8">
                  <c:v>0.86056280087527359</c:v>
                </c:pt>
                <c:pt idx="9">
                  <c:v>0.65353140043763669</c:v>
                </c:pt>
                <c:pt idx="10">
                  <c:v>0.44649999999999995</c:v>
                </c:pt>
                <c:pt idx="11">
                  <c:v>0.23946859956236324</c:v>
                </c:pt>
                <c:pt idx="12">
                  <c:v>3.2437199124726507E-2</c:v>
                </c:pt>
                <c:pt idx="13">
                  <c:v>-0.17459420131291023</c:v>
                </c:pt>
                <c:pt idx="14">
                  <c:v>-0.38162560175054699</c:v>
                </c:pt>
                <c:pt idx="15">
                  <c:v>-0.58865700218818373</c:v>
                </c:pt>
                <c:pt idx="16">
                  <c:v>-0.79568840262582041</c:v>
                </c:pt>
              </c:numCache>
            </c:numRef>
          </c:yVal>
          <c:smooth val="1"/>
        </c:ser>
        <c:axId val="107883904"/>
        <c:axId val="107906176"/>
      </c:scatterChart>
      <c:valAx>
        <c:axId val="107883904"/>
        <c:scaling>
          <c:orientation val="minMax"/>
        </c:scaling>
        <c:axPos val="b"/>
        <c:numFmt formatCode="General" sourceLinked="1"/>
        <c:tickLblPos val="nextTo"/>
        <c:crossAx val="107906176"/>
        <c:crosses val="autoZero"/>
        <c:crossBetween val="midCat"/>
      </c:valAx>
      <c:valAx>
        <c:axId val="107906176"/>
        <c:scaling>
          <c:orientation val="minMax"/>
        </c:scaling>
        <c:axPos val="l"/>
        <c:majorGridlines/>
        <c:numFmt formatCode="General" sourceLinked="1"/>
        <c:tickLblPos val="nextTo"/>
        <c:crossAx val="107883904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2'!$P$4:$P$23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2'!$S$4:$S$23</c:f>
              <c:numCache>
                <c:formatCode>General</c:formatCode>
                <c:ptCount val="20"/>
              </c:numCache>
            </c:numRef>
          </c:yVal>
          <c:smooth val="1"/>
        </c:ser>
        <c:axId val="107927040"/>
        <c:axId val="107928576"/>
      </c:scatterChart>
      <c:valAx>
        <c:axId val="107927040"/>
        <c:scaling>
          <c:orientation val="minMax"/>
        </c:scaling>
        <c:axPos val="b"/>
        <c:numFmt formatCode="General" sourceLinked="1"/>
        <c:tickLblPos val="nextTo"/>
        <c:crossAx val="107928576"/>
        <c:crosses val="autoZero"/>
        <c:crossBetween val="midCat"/>
      </c:valAx>
      <c:valAx>
        <c:axId val="107928576"/>
        <c:scaling>
          <c:orientation val="minMax"/>
        </c:scaling>
        <c:axPos val="l"/>
        <c:majorGridlines/>
        <c:numFmt formatCode="General" sourceLinked="1"/>
        <c:tickLblPos val="nextTo"/>
        <c:crossAx val="107927040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999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46E-2"/>
          <c:w val="0.87469230788477859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(Ref)'!$C$4:$C$23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2'!$S$4:$S$23</c:f>
              <c:numCache>
                <c:formatCode>General</c:formatCode>
                <c:ptCount val="20"/>
              </c:numCache>
            </c:numRef>
          </c:xVal>
          <c:yVal>
            <c:numRef>
              <c:f>'Optional 2'!$R$4:$R$23</c:f>
              <c:numCache>
                <c:formatCode>General</c:formatCode>
                <c:ptCount val="20"/>
                <c:pt idx="3">
                  <c:v>0.99922291807917096</c:v>
                </c:pt>
                <c:pt idx="4">
                  <c:v>0.9286239247461805</c:v>
                </c:pt>
                <c:pt idx="5">
                  <c:v>0.85802493141318992</c:v>
                </c:pt>
                <c:pt idx="6">
                  <c:v>0.78742593808019945</c:v>
                </c:pt>
                <c:pt idx="7">
                  <c:v>0.65952807185362095</c:v>
                </c:pt>
                <c:pt idx="8">
                  <c:v>0.53163020562704255</c:v>
                </c:pt>
                <c:pt idx="9">
                  <c:v>0.40373233940046405</c:v>
                </c:pt>
                <c:pt idx="10">
                  <c:v>0.2758344731738856</c:v>
                </c:pt>
                <c:pt idx="11">
                  <c:v>0.14793660694730715</c:v>
                </c:pt>
                <c:pt idx="12">
                  <c:v>2.0038740720728688E-2</c:v>
                </c:pt>
                <c:pt idx="13">
                  <c:v>-0.10785912550584976</c:v>
                </c:pt>
                <c:pt idx="14">
                  <c:v>-0.2357569917324282</c:v>
                </c:pt>
                <c:pt idx="15">
                  <c:v>-0.36365485795900665</c:v>
                </c:pt>
                <c:pt idx="16">
                  <c:v>-0.4915527241855851</c:v>
                </c:pt>
              </c:numCache>
            </c:numRef>
          </c:yVal>
          <c:smooth val="1"/>
        </c:ser>
        <c:axId val="107839488"/>
        <c:axId val="107841024"/>
      </c:scatterChart>
      <c:valAx>
        <c:axId val="107839488"/>
        <c:scaling>
          <c:orientation val="minMax"/>
        </c:scaling>
        <c:axPos val="b"/>
        <c:numFmt formatCode="General" sourceLinked="1"/>
        <c:tickLblPos val="nextTo"/>
        <c:crossAx val="107841024"/>
        <c:crosses val="autoZero"/>
        <c:crossBetween val="midCat"/>
      </c:valAx>
      <c:valAx>
        <c:axId val="107841024"/>
        <c:scaling>
          <c:orientation val="minMax"/>
        </c:scaling>
        <c:axPos val="l"/>
        <c:majorGridlines/>
        <c:numFmt formatCode="General" sourceLinked="1"/>
        <c:tickLblPos val="nextTo"/>
        <c:crossAx val="10783948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(Ref)'!$M$4:$M$23</c:f>
              <c:numCache>
                <c:formatCode>General</c:formatCode>
                <c:ptCount val="20"/>
                <c:pt idx="0">
                  <c:v>12.669228753602935</c:v>
                </c:pt>
                <c:pt idx="1">
                  <c:v>16.903640748822788</c:v>
                </c:pt>
                <c:pt idx="2">
                  <c:v>25.578680203045685</c:v>
                </c:pt>
                <c:pt idx="3">
                  <c:v>40.450450450450447</c:v>
                </c:pt>
                <c:pt idx="4">
                  <c:v>57.819169577027552</c:v>
                </c:pt>
                <c:pt idx="5">
                  <c:v>69.662195727769515</c:v>
                </c:pt>
                <c:pt idx="6">
                  <c:v>73.106407322654462</c:v>
                </c:pt>
                <c:pt idx="7">
                  <c:v>71.381748071979445</c:v>
                </c:pt>
                <c:pt idx="8">
                  <c:v>67.407675597393194</c:v>
                </c:pt>
                <c:pt idx="9">
                  <c:v>56.096979332273456</c:v>
                </c:pt>
                <c:pt idx="10">
                  <c:v>38.524590163934427</c:v>
                </c:pt>
                <c:pt idx="11">
                  <c:v>19.342723004694836</c:v>
                </c:pt>
                <c:pt idx="12">
                  <c:v>2.3429781227946367</c:v>
                </c:pt>
                <c:pt idx="13">
                  <c:v>-10.66865671641791</c:v>
                </c:pt>
                <c:pt idx="14">
                  <c:v>-19.523355576739753</c:v>
                </c:pt>
                <c:pt idx="15">
                  <c:v>-24.437568256279576</c:v>
                </c:pt>
                <c:pt idx="16">
                  <c:v>-23.554313099041533</c:v>
                </c:pt>
                <c:pt idx="17">
                  <c:v>-14.928492849284929</c:v>
                </c:pt>
                <c:pt idx="18">
                  <c:v>-1.4014798234160293</c:v>
                </c:pt>
                <c:pt idx="19">
                  <c:v>-1.2820661974288872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'Optional 2'!$P$4:$P$23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2'!$U$4:$U$23</c:f>
              <c:numCache>
                <c:formatCode>General</c:formatCode>
                <c:ptCount val="20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107939712"/>
        <c:axId val="107941248"/>
      </c:scatterChart>
      <c:valAx>
        <c:axId val="107939712"/>
        <c:scaling>
          <c:orientation val="minMax"/>
        </c:scaling>
        <c:axPos val="b"/>
        <c:numFmt formatCode="General" sourceLinked="1"/>
        <c:tickLblPos val="nextTo"/>
        <c:crossAx val="107941248"/>
        <c:crosses val="autoZero"/>
        <c:crossBetween val="midCat"/>
      </c:valAx>
      <c:valAx>
        <c:axId val="107941248"/>
        <c:scaling>
          <c:orientation val="minMax"/>
        </c:scaling>
        <c:axPos val="l"/>
        <c:majorGridlines/>
        <c:numFmt formatCode="General" sourceLinked="1"/>
        <c:tickLblPos val="nextTo"/>
        <c:crossAx val="10793971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903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'Wing Chract. (Ref)'!$E$4:$E$23</c:f>
              <c:numCache>
                <c:formatCode>General</c:formatCode>
                <c:ptCount val="20"/>
                <c:pt idx="0">
                  <c:v>-3.5799999999999998E-2</c:v>
                </c:pt>
                <c:pt idx="1">
                  <c:v>-3.09E-2</c:v>
                </c:pt>
                <c:pt idx="2">
                  <c:v>-3.0800000000000001E-2</c:v>
                </c:pt>
                <c:pt idx="3">
                  <c:v>-3.7900000000000003E-2</c:v>
                </c:pt>
                <c:pt idx="4">
                  <c:v>-5.1999999999999998E-2</c:v>
                </c:pt>
                <c:pt idx="5">
                  <c:v>-6.8599999999999994E-2</c:v>
                </c:pt>
                <c:pt idx="6">
                  <c:v>-8.4699999999999998E-2</c:v>
                </c:pt>
                <c:pt idx="7">
                  <c:v>-9.4600000000000004E-2</c:v>
                </c:pt>
                <c:pt idx="8">
                  <c:v>-0.1026</c:v>
                </c:pt>
                <c:pt idx="9">
                  <c:v>-0.10050000000000001</c:v>
                </c:pt>
                <c:pt idx="10">
                  <c:v>-9.6199999999999994E-2</c:v>
                </c:pt>
                <c:pt idx="11">
                  <c:v>-0.1019</c:v>
                </c:pt>
                <c:pt idx="12">
                  <c:v>-0.10489999999999999</c:v>
                </c:pt>
                <c:pt idx="13">
                  <c:v>-0.1081</c:v>
                </c:pt>
                <c:pt idx="14">
                  <c:v>-0.10730000000000001</c:v>
                </c:pt>
                <c:pt idx="15">
                  <c:v>-9.7299999999999998E-2</c:v>
                </c:pt>
                <c:pt idx="16">
                  <c:v>-8.8499999999999995E-2</c:v>
                </c:pt>
                <c:pt idx="17">
                  <c:v>-9.8699999999999996E-2</c:v>
                </c:pt>
                <c:pt idx="18">
                  <c:v>-4.1399999999999999E-2</c:v>
                </c:pt>
                <c:pt idx="19">
                  <c:v>-4.2200000000000001E-2</c:v>
                </c:pt>
              </c:numCache>
            </c:numRef>
          </c:xVal>
          <c:yVal>
            <c:numRef>
              <c:f>'Wing Chract. (Ref)'!$B$4:$B$23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axId val="107953152"/>
        <c:axId val="107975424"/>
      </c:scatterChart>
      <c:valAx>
        <c:axId val="107953152"/>
        <c:scaling>
          <c:orientation val="minMax"/>
        </c:scaling>
        <c:axPos val="b"/>
        <c:numFmt formatCode="General" sourceLinked="1"/>
        <c:tickLblPos val="nextTo"/>
        <c:crossAx val="107975424"/>
        <c:crosses val="autoZero"/>
        <c:crossBetween val="midCat"/>
      </c:valAx>
      <c:valAx>
        <c:axId val="107975424"/>
        <c:scaling>
          <c:orientation val="minMax"/>
        </c:scaling>
        <c:axPos val="l"/>
        <c:majorGridlines/>
        <c:numFmt formatCode="General" sourceLinked="1"/>
        <c:tickLblPos val="nextTo"/>
        <c:crossAx val="107953152"/>
        <c:crosses val="autoZero"/>
        <c:crossBetween val="midCat"/>
      </c:valAx>
    </c:plotArea>
    <c:legend>
      <c:legendPos val="l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'Wing Chract. (Ref)'!$A$4:$A$23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'Wing Chract. (Ref)'!$O$4:$O$23</c:f>
              <c:numCache>
                <c:formatCode>General</c:formatCode>
                <c:ptCount val="20"/>
                <c:pt idx="0">
                  <c:v>7.8931402964494995E-2</c:v>
                </c:pt>
                <c:pt idx="1">
                  <c:v>5.9158853105041438E-2</c:v>
                </c:pt>
                <c:pt idx="2">
                  <c:v>3.9095058543361781E-2</c:v>
                </c:pt>
                <c:pt idx="3">
                  <c:v>2.472160356347439E-2</c:v>
                </c:pt>
                <c:pt idx="4">
                  <c:v>1.729530201342282E-2</c:v>
                </c:pt>
                <c:pt idx="5">
                  <c:v>1.4354988233616198E-2</c:v>
                </c:pt>
                <c:pt idx="6">
                  <c:v>1.3678691603411848E-2</c:v>
                </c:pt>
                <c:pt idx="7">
                  <c:v>1.4009183397857205E-2</c:v>
                </c:pt>
                <c:pt idx="8">
                  <c:v>1.4835105811580191E-2</c:v>
                </c:pt>
                <c:pt idx="9">
                  <c:v>1.7826271786878276E-2</c:v>
                </c:pt>
                <c:pt idx="10">
                  <c:v>2.5957446808510639E-2</c:v>
                </c:pt>
                <c:pt idx="11">
                  <c:v>5.1699029126213589E-2</c:v>
                </c:pt>
                <c:pt idx="12">
                  <c:v>0.42680722891566264</c:v>
                </c:pt>
                <c:pt idx="13">
                  <c:v>-9.3732512590934527E-2</c:v>
                </c:pt>
                <c:pt idx="14">
                  <c:v>-5.1220703124999996E-2</c:v>
                </c:pt>
                <c:pt idx="15">
                  <c:v>-4.0920601817369284E-2</c:v>
                </c:pt>
                <c:pt idx="16">
                  <c:v>-4.2455069515089865E-2</c:v>
                </c:pt>
                <c:pt idx="17">
                  <c:v>-6.6985998526160648E-2</c:v>
                </c:pt>
                <c:pt idx="18">
                  <c:v>-0.71353149955634432</c:v>
                </c:pt>
                <c:pt idx="19">
                  <c:v>-0.77999092558983674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'Optional 2'!$P$4:$P$23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'Optional 2'!$V$4:$V$23</c:f>
              <c:numCache>
                <c:formatCode>General</c:formatCode>
                <c:ptCount val="20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108008576"/>
        <c:axId val="108010112"/>
      </c:scatterChart>
      <c:valAx>
        <c:axId val="108008576"/>
        <c:scaling>
          <c:orientation val="minMax"/>
        </c:scaling>
        <c:axPos val="b"/>
        <c:numFmt formatCode="General" sourceLinked="1"/>
        <c:tickLblPos val="nextTo"/>
        <c:crossAx val="108010112"/>
        <c:crosses val="autoZero"/>
        <c:crossBetween val="midCat"/>
      </c:valAx>
      <c:valAx>
        <c:axId val="108010112"/>
        <c:scaling>
          <c:orientation val="minMax"/>
        </c:scaling>
        <c:axPos val="l"/>
        <c:majorGridlines/>
        <c:numFmt formatCode="General" sourceLinked="1"/>
        <c:tickLblPos val="nextTo"/>
        <c:crossAx val="108008576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12</xdr:row>
      <xdr:rowOff>38099</xdr:rowOff>
    </xdr:from>
    <xdr:to>
      <xdr:col>23</xdr:col>
      <xdr:colOff>66675</xdr:colOff>
      <xdr:row>30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47626</xdr:colOff>
      <xdr:row>30</xdr:row>
      <xdr:rowOff>76200</xdr:rowOff>
    </xdr:from>
    <xdr:to>
      <xdr:col>23</xdr:col>
      <xdr:colOff>57151</xdr:colOff>
      <xdr:row>49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5</xdr:col>
      <xdr:colOff>247650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15</xdr:col>
      <xdr:colOff>161926</xdr:colOff>
      <xdr:row>40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40</xdr:row>
      <xdr:rowOff>161925</xdr:rowOff>
    </xdr:from>
    <xdr:to>
      <xdr:col>16</xdr:col>
      <xdr:colOff>152400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40</xdr:row>
      <xdr:rowOff>171449</xdr:rowOff>
    </xdr:from>
    <xdr:to>
      <xdr:col>27</xdr:col>
      <xdr:colOff>28574</xdr:colOff>
      <xdr:row>66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161925</xdr:rowOff>
    </xdr:from>
    <xdr:to>
      <xdr:col>5</xdr:col>
      <xdr:colOff>285750</xdr:colOff>
      <xdr:row>66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180976</xdr:colOff>
      <xdr:row>17</xdr:row>
      <xdr:rowOff>19050</xdr:rowOff>
    </xdr:from>
    <xdr:to>
      <xdr:col>27</xdr:col>
      <xdr:colOff>28576</xdr:colOff>
      <xdr:row>40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5</xdr:col>
      <xdr:colOff>247650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15</xdr:col>
      <xdr:colOff>0</xdr:colOff>
      <xdr:row>40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40</xdr:row>
      <xdr:rowOff>161925</xdr:rowOff>
    </xdr:from>
    <xdr:to>
      <xdr:col>15</xdr:col>
      <xdr:colOff>152400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114299</xdr:rowOff>
    </xdr:from>
    <xdr:to>
      <xdr:col>5</xdr:col>
      <xdr:colOff>190499</xdr:colOff>
      <xdr:row>92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161925</xdr:rowOff>
    </xdr:from>
    <xdr:to>
      <xdr:col>5</xdr:col>
      <xdr:colOff>285750</xdr:colOff>
      <xdr:row>66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219075</xdr:colOff>
      <xdr:row>66</xdr:row>
      <xdr:rowOff>114300</xdr:rowOff>
    </xdr:from>
    <xdr:to>
      <xdr:col>12</xdr:col>
      <xdr:colOff>628651</xdr:colOff>
      <xdr:row>90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5</xdr:col>
      <xdr:colOff>247650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15</xdr:col>
      <xdr:colOff>161926</xdr:colOff>
      <xdr:row>40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40</xdr:row>
      <xdr:rowOff>161925</xdr:rowOff>
    </xdr:from>
    <xdr:to>
      <xdr:col>16</xdr:col>
      <xdr:colOff>152400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40</xdr:row>
      <xdr:rowOff>171449</xdr:rowOff>
    </xdr:from>
    <xdr:to>
      <xdr:col>27</xdr:col>
      <xdr:colOff>28574</xdr:colOff>
      <xdr:row>66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161925</xdr:rowOff>
    </xdr:from>
    <xdr:to>
      <xdr:col>5</xdr:col>
      <xdr:colOff>285750</xdr:colOff>
      <xdr:row>66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180976</xdr:colOff>
      <xdr:row>17</xdr:row>
      <xdr:rowOff>19050</xdr:rowOff>
    </xdr:from>
    <xdr:to>
      <xdr:col>27</xdr:col>
      <xdr:colOff>28576</xdr:colOff>
      <xdr:row>40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5</xdr:col>
      <xdr:colOff>247650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15</xdr:col>
      <xdr:colOff>161926</xdr:colOff>
      <xdr:row>40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40</xdr:row>
      <xdr:rowOff>161925</xdr:rowOff>
    </xdr:from>
    <xdr:to>
      <xdr:col>16</xdr:col>
      <xdr:colOff>152400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40</xdr:row>
      <xdr:rowOff>171449</xdr:rowOff>
    </xdr:from>
    <xdr:to>
      <xdr:col>27</xdr:col>
      <xdr:colOff>28574</xdr:colOff>
      <xdr:row>66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161925</xdr:rowOff>
    </xdr:from>
    <xdr:to>
      <xdr:col>5</xdr:col>
      <xdr:colOff>285750</xdr:colOff>
      <xdr:row>66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180976</xdr:colOff>
      <xdr:row>17</xdr:row>
      <xdr:rowOff>19050</xdr:rowOff>
    </xdr:from>
    <xdr:to>
      <xdr:col>27</xdr:col>
      <xdr:colOff>28576</xdr:colOff>
      <xdr:row>40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14</xdr:row>
      <xdr:rowOff>28575</xdr:rowOff>
    </xdr:from>
    <xdr:to>
      <xdr:col>7</xdr:col>
      <xdr:colOff>581025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7</xdr:row>
      <xdr:rowOff>123825</xdr:rowOff>
    </xdr:from>
    <xdr:to>
      <xdr:col>18</xdr:col>
      <xdr:colOff>523875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6</xdr:row>
      <xdr:rowOff>180976</xdr:rowOff>
    </xdr:from>
    <xdr:to>
      <xdr:col>9</xdr:col>
      <xdr:colOff>114300</xdr:colOff>
      <xdr:row>27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5</xdr:col>
      <xdr:colOff>247650</xdr:colOff>
      <xdr:row>36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13</xdr:row>
      <xdr:rowOff>19050</xdr:rowOff>
    </xdr:from>
    <xdr:to>
      <xdr:col>14</xdr:col>
      <xdr:colOff>323850</xdr:colOff>
      <xdr:row>36</xdr:row>
      <xdr:rowOff>142874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314325</xdr:colOff>
      <xdr:row>36</xdr:row>
      <xdr:rowOff>152400</xdr:rowOff>
    </xdr:from>
    <xdr:to>
      <xdr:col>15</xdr:col>
      <xdr:colOff>161925</xdr:colOff>
      <xdr:row>62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62</xdr:row>
      <xdr:rowOff>85724</xdr:rowOff>
    </xdr:from>
    <xdr:to>
      <xdr:col>5</xdr:col>
      <xdr:colOff>276224</xdr:colOff>
      <xdr:row>88</xdr:row>
      <xdr:rowOff>9525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36</xdr:row>
      <xdr:rowOff>133350</xdr:rowOff>
    </xdr:from>
    <xdr:to>
      <xdr:col>5</xdr:col>
      <xdr:colOff>295275</xdr:colOff>
      <xdr:row>62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295275</xdr:colOff>
      <xdr:row>62</xdr:row>
      <xdr:rowOff>133350</xdr:rowOff>
    </xdr:from>
    <xdr:to>
      <xdr:col>12</xdr:col>
      <xdr:colOff>704851</xdr:colOff>
      <xdr:row>86</xdr:row>
      <xdr:rowOff>76200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152400</xdr:rowOff>
    </xdr:from>
    <xdr:to>
      <xdr:col>5</xdr:col>
      <xdr:colOff>247650</xdr:colOff>
      <xdr:row>36</xdr:row>
      <xdr:rowOff>85725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12</xdr:row>
      <xdr:rowOff>171450</xdr:rowOff>
    </xdr:from>
    <xdr:to>
      <xdr:col>14</xdr:col>
      <xdr:colOff>323850</xdr:colOff>
      <xdr:row>36</xdr:row>
      <xdr:rowOff>104774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314325</xdr:colOff>
      <xdr:row>36</xdr:row>
      <xdr:rowOff>114300</xdr:rowOff>
    </xdr:from>
    <xdr:to>
      <xdr:col>15</xdr:col>
      <xdr:colOff>161925</xdr:colOff>
      <xdr:row>62</xdr:row>
      <xdr:rowOff>57150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62</xdr:row>
      <xdr:rowOff>38099</xdr:rowOff>
    </xdr:from>
    <xdr:to>
      <xdr:col>5</xdr:col>
      <xdr:colOff>200024</xdr:colOff>
      <xdr:row>87</xdr:row>
      <xdr:rowOff>152400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36</xdr:row>
      <xdr:rowOff>85725</xdr:rowOff>
    </xdr:from>
    <xdr:to>
      <xdr:col>5</xdr:col>
      <xdr:colOff>295275</xdr:colOff>
      <xdr:row>62</xdr:row>
      <xdr:rowOff>28575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219075</xdr:colOff>
      <xdr:row>62</xdr:row>
      <xdr:rowOff>38100</xdr:rowOff>
    </xdr:from>
    <xdr:to>
      <xdr:col>12</xdr:col>
      <xdr:colOff>628651</xdr:colOff>
      <xdr:row>85</xdr:row>
      <xdr:rowOff>171450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selection activeCell="M16" sqref="M16"/>
    </sheetView>
  </sheetViews>
  <sheetFormatPr defaultRowHeight="15"/>
  <cols>
    <col min="1" max="1" width="24.28515625" style="26" bestFit="1" customWidth="1"/>
    <col min="2" max="2" width="10.140625" style="26" bestFit="1" customWidth="1"/>
    <col min="3" max="3" width="10.140625" style="26" customWidth="1"/>
    <col min="4" max="4" width="6.42578125" style="26" customWidth="1"/>
    <col min="5" max="5" width="11.85546875" style="26" bestFit="1" customWidth="1"/>
    <col min="6" max="6" width="12.85546875" style="26" bestFit="1" customWidth="1"/>
    <col min="7" max="7" width="12.140625" style="26" bestFit="1" customWidth="1"/>
    <col min="8" max="8" width="11.85546875" style="26" customWidth="1"/>
    <col min="9" max="9" width="6.42578125" style="26" customWidth="1"/>
    <col min="10" max="10" width="7.5703125" style="26" bestFit="1" customWidth="1"/>
    <col min="11" max="11" width="10.140625" style="26" bestFit="1" customWidth="1"/>
    <col min="12" max="16" width="12.140625" style="25" bestFit="1" customWidth="1"/>
    <col min="17" max="18" width="12" style="25" bestFit="1" customWidth="1"/>
    <col min="19" max="19" width="24.28515625" style="25" bestFit="1" customWidth="1"/>
    <col min="20" max="20" width="8" style="25" bestFit="1" customWidth="1"/>
    <col min="21" max="21" width="12" style="25" bestFit="1" customWidth="1"/>
    <col min="22" max="16384" width="9.140625" style="26"/>
  </cols>
  <sheetData>
    <row r="1" spans="1:21">
      <c r="A1" s="4" t="s">
        <v>5</v>
      </c>
      <c r="B1" s="4" t="s">
        <v>6</v>
      </c>
    </row>
    <row r="2" spans="1:21">
      <c r="A2" s="1"/>
      <c r="B2" s="1"/>
    </row>
    <row r="3" spans="1:21">
      <c r="A3" s="42" t="s">
        <v>3</v>
      </c>
      <c r="B3" s="42"/>
    </row>
    <row r="4" spans="1:21">
      <c r="A4" s="18" t="s">
        <v>87</v>
      </c>
      <c r="B4" s="18" t="s">
        <v>88</v>
      </c>
    </row>
    <row r="5" spans="1:21">
      <c r="A5" s="2">
        <v>514.05200000000002</v>
      </c>
      <c r="B5" s="2">
        <v>54.381999999999998</v>
      </c>
    </row>
    <row r="6" spans="1:21">
      <c r="A6" s="1"/>
      <c r="B6" s="1"/>
    </row>
    <row r="7" spans="1:21" ht="17.25">
      <c r="A7" s="2" t="s">
        <v>2</v>
      </c>
      <c r="B7" s="30">
        <v>2.2878199999999999E-3</v>
      </c>
    </row>
    <row r="8" spans="1:21">
      <c r="A8" s="2" t="s">
        <v>1</v>
      </c>
      <c r="B8" s="3">
        <v>3.7106739999999999E-7</v>
      </c>
    </row>
    <row r="9" spans="1:21">
      <c r="A9" s="1"/>
      <c r="B9" s="1"/>
    </row>
    <row r="10" spans="1:21">
      <c r="A10" s="2" t="s">
        <v>4</v>
      </c>
      <c r="B10" s="1"/>
    </row>
    <row r="11" spans="1:21">
      <c r="A11" s="2">
        <f>SQRT(1.4*1716*A5)</f>
        <v>1111.2868778132854</v>
      </c>
      <c r="B11" s="1"/>
    </row>
    <row r="12" spans="1:21">
      <c r="A12" s="18"/>
      <c r="B12" s="1"/>
    </row>
    <row r="13" spans="1:21">
      <c r="A13" s="24" t="s">
        <v>26</v>
      </c>
      <c r="B13" s="24" t="s">
        <v>59</v>
      </c>
      <c r="C13" s="25"/>
      <c r="L13" s="26"/>
      <c r="M13" s="41" t="s">
        <v>75</v>
      </c>
      <c r="N13" s="41"/>
      <c r="O13" s="41" t="s">
        <v>76</v>
      </c>
      <c r="P13" s="41"/>
    </row>
    <row r="14" spans="1:21" ht="18">
      <c r="A14" s="24" t="s">
        <v>21</v>
      </c>
      <c r="B14" s="19">
        <v>250000</v>
      </c>
      <c r="C14" s="25"/>
      <c r="D14" s="25"/>
      <c r="E14" s="24" t="s">
        <v>89</v>
      </c>
      <c r="F14" s="24">
        <f>MAX('Wing Chract. (Ref)'!J7:J20)</f>
        <v>1.0055854189323408</v>
      </c>
      <c r="G14" s="25"/>
      <c r="H14" s="25"/>
      <c r="I14" s="25"/>
      <c r="J14" s="24" t="s">
        <v>0</v>
      </c>
      <c r="K14" s="24" t="s">
        <v>57</v>
      </c>
      <c r="L14" s="24" t="s">
        <v>58</v>
      </c>
      <c r="M14" s="24" t="s">
        <v>73</v>
      </c>
      <c r="N14" s="24" t="s">
        <v>74</v>
      </c>
      <c r="O14" s="24" t="s">
        <v>73</v>
      </c>
      <c r="P14" s="24" t="s">
        <v>74</v>
      </c>
    </row>
    <row r="15" spans="1:21" ht="18">
      <c r="A15" s="24" t="s">
        <v>17</v>
      </c>
      <c r="B15" s="24">
        <v>0.18</v>
      </c>
      <c r="C15" s="25"/>
      <c r="D15" s="25"/>
      <c r="E15" s="24" t="s">
        <v>91</v>
      </c>
      <c r="F15" s="24">
        <f>'Wing Chract. (Ref)'!J14</f>
        <v>0.27791687642309332</v>
      </c>
      <c r="G15" s="25"/>
      <c r="H15" s="25"/>
      <c r="I15" s="25"/>
      <c r="J15" s="19">
        <v>25</v>
      </c>
      <c r="K15" s="24">
        <v>17.045455</v>
      </c>
      <c r="L15" s="24">
        <v>2.2496441287233857E-2</v>
      </c>
      <c r="M15" s="24">
        <f>0.5*'Wing Info. (Ref)'!$I$2*'Wing Info. (Ref)'!$B$4*'Wing Chract. (Ref)'!$J$14*('Aero Data'!J15)^2</f>
        <v>1.0288423673107066</v>
      </c>
      <c r="N15" s="24">
        <f>0.5*'Wing Info. (Ref)'!$I$2*'Wing Info. (Ref)'!$B$4*'Wing Chract. (Ref)'!$K$14*(J15)^2</f>
        <v>7.0160997702464603E-2</v>
      </c>
      <c r="O15" s="24">
        <f>0.5*'Wing Info. (Ref)'!$I$2*'Wing Info. (Ref)'!$B$4*'Wing Chract. (Ref)'!$J$10*('Aero Data'!J15)^2</f>
        <v>2.9370410336839119</v>
      </c>
      <c r="P15" s="24">
        <f>0.5*'Wing Info. (Ref)'!$I$2*'Wing Info. (Ref)'!$B$4*'Wing Chract. (Ref)'!$K$10*('Aero Data'!J15)^2</f>
        <v>0.2476618800904761</v>
      </c>
    </row>
    <row r="16" spans="1:21" ht="18">
      <c r="A16" s="27" t="s">
        <v>79</v>
      </c>
      <c r="B16" s="24">
        <f>'Wing Info. (Ref)'!E3</f>
        <v>4.5</v>
      </c>
      <c r="C16" s="25"/>
      <c r="D16" s="25"/>
      <c r="E16" s="24" t="s">
        <v>90</v>
      </c>
      <c r="F16" s="24">
        <f>('Wing Chract. (Ref)'!A16)-(('Wing Chract. (Ref)'!B16)/(('Wing Chract. (Ref)'!B16-'Wing Chract. (Ref)'!B17)/('Wing Chract. (Ref)'!A16-'Wing Chract. (Ref)'!A17)))</f>
        <v>-4.3133553563001419</v>
      </c>
      <c r="G16" s="25"/>
      <c r="H16" s="25"/>
      <c r="I16" s="25"/>
      <c r="J16" s="19">
        <v>30</v>
      </c>
      <c r="K16" s="24">
        <v>20.454546000000001</v>
      </c>
      <c r="L16" s="24">
        <v>2.6995729544680627E-2</v>
      </c>
      <c r="M16" s="24">
        <f>0.5*'Wing Info. (Ref)'!$I$2*'Wing Info. (Ref)'!$B$4*'Wing Chract. (Ref)'!$J$14*('Aero Data'!J16)^2</f>
        <v>1.4815330089274172</v>
      </c>
      <c r="N16" s="24">
        <f>0.5*'Wing Info. (Ref)'!$I$2*'Wing Info. (Ref)'!$B$4*'Wing Chract. (Ref)'!$K$14*(J16)^2</f>
        <v>0.10103183669154903</v>
      </c>
      <c r="O16" s="24">
        <f>0.5*'Wing Info. (Ref)'!$I$2*'Wing Info. (Ref)'!$B$4*'Wing Chract. (Ref)'!$J$10*('Aero Data'!J16)^2</f>
        <v>4.2293390885048332</v>
      </c>
      <c r="P16" s="24">
        <f>0.5*'Wing Info. (Ref)'!$I$2*'Wing Info. (Ref)'!$B$4*'Wing Chract. (Ref)'!$K$10*('Aero Data'!J16)^2</f>
        <v>0.35663310733028558</v>
      </c>
      <c r="Q16" s="40"/>
      <c r="R16" s="40"/>
      <c r="T16" s="40"/>
      <c r="U16" s="40"/>
    </row>
    <row r="17" spans="1:18" ht="18">
      <c r="A17" s="27" t="s">
        <v>80</v>
      </c>
      <c r="B17" s="24">
        <f>'Wing Info. (Ref)'!E1</f>
        <v>8</v>
      </c>
      <c r="D17" s="25"/>
      <c r="E17" s="24" t="s">
        <v>92</v>
      </c>
      <c r="F17" s="24">
        <f>'Wing Chract. (Ref)'!K14</f>
        <v>1.8952296238698915E-2</v>
      </c>
      <c r="G17" s="25"/>
      <c r="H17" s="25"/>
      <c r="I17" s="25"/>
      <c r="J17" s="19">
        <v>35</v>
      </c>
      <c r="K17" s="24">
        <v>23.863637000000001</v>
      </c>
      <c r="L17" s="24">
        <v>3.1495017802127399E-2</v>
      </c>
      <c r="M17" s="24">
        <f>0.5*'Wing Info. (Ref)'!$I$2*'Wing Info. (Ref)'!$B$4*'Wing Chract. (Ref)'!$J$14*('Aero Data'!J17)^2</f>
        <v>2.0165310399289846</v>
      </c>
      <c r="N17" s="24">
        <f>0.5*'Wing Info. (Ref)'!$I$2*'Wing Info. (Ref)'!$B$4*'Wing Chract. (Ref)'!$K$14*(J17)^2</f>
        <v>0.13751555549683062</v>
      </c>
      <c r="O17" s="24">
        <f>0.5*'Wing Info. (Ref)'!$I$2*'Wing Info. (Ref)'!$B$4*'Wing Chract. (Ref)'!$J$10*('Aero Data'!J17)^2</f>
        <v>5.7566004260204675</v>
      </c>
      <c r="P17" s="24">
        <f>0.5*'Wing Info. (Ref)'!$I$2*'Wing Info. (Ref)'!$B$4*'Wing Chract. (Ref)'!$K$10*('Aero Data'!J17)^2</f>
        <v>0.48541728497733316</v>
      </c>
    </row>
    <row r="18" spans="1:18" ht="18">
      <c r="A18" s="24" t="s">
        <v>7</v>
      </c>
      <c r="B18" s="24">
        <f>'Wing Info. (Ref)'!E6</f>
        <v>0.97786448664124803</v>
      </c>
      <c r="D18" s="25"/>
      <c r="E18" s="24" t="s">
        <v>93</v>
      </c>
      <c r="F18" s="24">
        <f>'Wing Chract. (Ref)'!E14</f>
        <v>-9.6199999999999994E-2</v>
      </c>
      <c r="G18" s="25"/>
      <c r="H18" s="25"/>
      <c r="I18" s="25"/>
      <c r="J18" s="19">
        <v>40</v>
      </c>
      <c r="K18" s="24">
        <v>27.272728000000001</v>
      </c>
      <c r="L18" s="24">
        <v>3.5994306059574169E-2</v>
      </c>
      <c r="M18" s="24">
        <f>0.5*'Wing Info. (Ref)'!$I$2*'Wing Info. (Ref)'!$B$4*'Wing Chract. (Ref)'!$J$14*('Aero Data'!J18)^2</f>
        <v>2.6338364603154085</v>
      </c>
      <c r="N18" s="24">
        <f>0.5*'Wing Info. (Ref)'!$I$2*'Wing Info. (Ref)'!$B$4*'Wing Chract. (Ref)'!$K$14*(J18)^2</f>
        <v>0.17961215411830939</v>
      </c>
      <c r="O18" s="24">
        <f>0.5*'Wing Info. (Ref)'!$I$2*'Wing Info. (Ref)'!$B$4*'Wing Chract. (Ref)'!$J$10*('Aero Data'!J18)^2</f>
        <v>7.5188250462308144</v>
      </c>
      <c r="P18" s="24">
        <f>0.5*'Wing Info. (Ref)'!$I$2*'Wing Info. (Ref)'!$B$4*'Wing Chract. (Ref)'!$K$10*('Aero Data'!J18)^2</f>
        <v>0.63401441303161887</v>
      </c>
    </row>
    <row r="19" spans="1:18" ht="18">
      <c r="A19" s="27" t="s">
        <v>81</v>
      </c>
      <c r="B19" s="24">
        <f>'Wing Info. (Ref)'!F11</f>
        <v>3.9107763615295483</v>
      </c>
      <c r="D19" s="25"/>
      <c r="E19" s="24" t="s">
        <v>94</v>
      </c>
      <c r="F19" s="30">
        <f>('Wing Chract. (Ref)'!E12-'Wing Chract. (Ref)'!E17)/('Wing Chract. (Ref)'!A12-'Wing Chract. (Ref)'!A17)</f>
        <v>5.5000000000000047E-4</v>
      </c>
      <c r="G19" s="30">
        <f>F19*180/PI()</f>
        <v>3.1512678732195307E-2</v>
      </c>
      <c r="H19" s="24" t="s">
        <v>96</v>
      </c>
      <c r="I19" s="25"/>
      <c r="J19" s="19">
        <v>45</v>
      </c>
      <c r="K19" s="24">
        <v>30.681819000000001</v>
      </c>
      <c r="L19" s="24">
        <v>4.0493594317020945E-2</v>
      </c>
      <c r="M19" s="24">
        <f>0.5*'Wing Info. (Ref)'!$I$2*'Wing Info. (Ref)'!$B$4*'Wing Chract. (Ref)'!$J$14*('Aero Data'!J19)^2</f>
        <v>3.3334492700866889</v>
      </c>
      <c r="N19" s="24">
        <f>0.5*'Wing Info. (Ref)'!$I$2*'Wing Info. (Ref)'!$B$4*'Wing Chract. (Ref)'!$K$14*(J19)^2</f>
        <v>0.22732163255598534</v>
      </c>
      <c r="O19" s="24">
        <f>0.5*'Wing Info. (Ref)'!$I$2*'Wing Info. (Ref)'!$B$4*'Wing Chract. (Ref)'!$J$10*('Aero Data'!J19)^2</f>
        <v>9.5160129491358756</v>
      </c>
      <c r="P19" s="24">
        <f>0.5*'Wing Info. (Ref)'!$I$2*'Wing Info. (Ref)'!$B$4*'Wing Chract. (Ref)'!$K$10*('Aero Data'!J19)^2</f>
        <v>0.80242449149314254</v>
      </c>
    </row>
    <row r="20" spans="1:18">
      <c r="D20" s="25"/>
      <c r="E20" s="25"/>
      <c r="F20" s="25"/>
      <c r="G20" s="25"/>
      <c r="H20" s="25"/>
      <c r="I20" s="25"/>
      <c r="J20" s="19">
        <v>50</v>
      </c>
      <c r="K20" s="24">
        <v>34.090910000000001</v>
      </c>
      <c r="L20" s="24">
        <v>4.4992882574467714E-2</v>
      </c>
      <c r="M20" s="24">
        <f>0.5*'Wing Info. (Ref)'!$I$2*'Wing Info. (Ref)'!$B$4*'Wing Chract. (Ref)'!$J$14*('Aero Data'!J20)^2</f>
        <v>4.1153694692428262</v>
      </c>
      <c r="N20" s="24">
        <f>0.5*'Wing Info. (Ref)'!$I$2*'Wing Info. (Ref)'!$B$4*'Wing Chract. (Ref)'!$K$14*(J20)^2</f>
        <v>0.28064399080985841</v>
      </c>
      <c r="O20" s="24">
        <f>0.5*'Wing Info. (Ref)'!$I$2*'Wing Info. (Ref)'!$B$4*'Wing Chract. (Ref)'!$J$10*('Aero Data'!J20)^2</f>
        <v>11.748164134735648</v>
      </c>
      <c r="P20" s="24">
        <f>0.5*'Wing Info. (Ref)'!$I$2*'Wing Info. (Ref)'!$B$4*'Wing Chract. (Ref)'!$K$10*('Aero Data'!J20)^2</f>
        <v>0.9906475203619044</v>
      </c>
      <c r="Q20" s="40"/>
      <c r="R20" s="40"/>
    </row>
    <row r="21" spans="1:18" ht="18">
      <c r="A21" s="24" t="s">
        <v>18</v>
      </c>
      <c r="B21" s="24">
        <f>'Wing Info. (Ref)'!G11</f>
        <v>24.468679631362804</v>
      </c>
      <c r="D21" s="25"/>
      <c r="E21" s="28" t="s">
        <v>95</v>
      </c>
      <c r="F21" s="24">
        <v>8</v>
      </c>
      <c r="G21" s="25"/>
      <c r="H21" s="25"/>
      <c r="I21" s="25"/>
      <c r="J21" s="19">
        <v>55</v>
      </c>
      <c r="K21" s="24">
        <v>37.500001000000005</v>
      </c>
      <c r="L21" s="24">
        <v>4.9492170831914484E-2</v>
      </c>
      <c r="M21" s="24">
        <f>0.5*'Wing Info. (Ref)'!$I$2*'Wing Info. (Ref)'!$B$4*'Wing Chract. (Ref)'!$J$14*('Aero Data'!J21)^2</f>
        <v>4.9795970577838196</v>
      </c>
      <c r="N21" s="24">
        <f>0.5*'Wing Info. (Ref)'!$I$2*'Wing Info. (Ref)'!$B$4*'Wing Chract. (Ref)'!$K$14*(J21)^2</f>
        <v>0.3395792288799287</v>
      </c>
      <c r="O21" s="24">
        <f>0.5*'Wing Info. (Ref)'!$I$2*'Wing Info. (Ref)'!$B$4*'Wing Chract. (Ref)'!$J$10*('Aero Data'!J21)^2</f>
        <v>14.215278603030134</v>
      </c>
      <c r="P21" s="24">
        <f>0.5*'Wing Info. (Ref)'!$I$2*'Wing Info. (Ref)'!$B$4*'Wing Chract. (Ref)'!$K$10*('Aero Data'!J21)^2</f>
        <v>1.1986834996379043</v>
      </c>
    </row>
    <row r="22" spans="1:18">
      <c r="D22" s="25"/>
      <c r="F22" s="25"/>
      <c r="G22" s="25"/>
      <c r="H22" s="25"/>
      <c r="I22" s="25"/>
      <c r="J22" s="19">
        <v>60</v>
      </c>
      <c r="K22" s="24">
        <v>40.909092000000001</v>
      </c>
      <c r="L22" s="24">
        <v>5.3991459089361253E-2</v>
      </c>
      <c r="M22" s="24">
        <f>0.5*'Wing Info. (Ref)'!$I$2*'Wing Info. (Ref)'!$B$4*'Wing Chract. (Ref)'!$J$14*('Aero Data'!J22)^2</f>
        <v>5.926132035709669</v>
      </c>
      <c r="N22" s="24">
        <f>0.5*'Wing Info. (Ref)'!$I$2*'Wing Info. (Ref)'!$B$4*'Wing Chract. (Ref)'!$K$14*(J22)^2</f>
        <v>0.4041273467661961</v>
      </c>
      <c r="O22" s="24">
        <f>0.5*'Wing Info. (Ref)'!$I$2*'Wing Info. (Ref)'!$B$4*'Wing Chract. (Ref)'!$J$10*('Aero Data'!J22)^2</f>
        <v>16.917356354019333</v>
      </c>
      <c r="P22" s="24">
        <f>0.5*'Wing Info. (Ref)'!$I$2*'Wing Info. (Ref)'!$B$4*'Wing Chract. (Ref)'!$K$10*('Aero Data'!J22)^2</f>
        <v>1.4265324293211423</v>
      </c>
    </row>
    <row r="23" spans="1:18">
      <c r="A23" s="24"/>
      <c r="B23" s="24" t="s">
        <v>27</v>
      </c>
      <c r="C23" s="24" t="s">
        <v>28</v>
      </c>
      <c r="D23" s="25"/>
      <c r="F23" s="24" t="s">
        <v>84</v>
      </c>
      <c r="G23" s="24" t="s">
        <v>83</v>
      </c>
      <c r="H23" s="25"/>
      <c r="I23" s="25"/>
      <c r="J23" s="19">
        <v>65</v>
      </c>
      <c r="K23" s="24">
        <v>44.318183000000005</v>
      </c>
      <c r="L23" s="24">
        <v>5.8490747346808029E-2</v>
      </c>
      <c r="M23" s="24">
        <f>0.5*'Wing Info. (Ref)'!$I$2*'Wing Info. (Ref)'!$B$4*'Wing Chract. (Ref)'!$J$14*('Aero Data'!J23)^2</f>
        <v>6.9549744030203753</v>
      </c>
      <c r="N23" s="24">
        <f>0.5*'Wing Info. (Ref)'!$I$2*'Wing Info. (Ref)'!$B$4*'Wing Chract. (Ref)'!$K$14*(J23)^2</f>
        <v>0.47428834446866075</v>
      </c>
      <c r="O23" s="24">
        <f>0.5*'Wing Info. (Ref)'!$I$2*'Wing Info. (Ref)'!$B$4*'Wing Chract. (Ref)'!$J$10*('Aero Data'!J23)^2</f>
        <v>19.854397387703244</v>
      </c>
      <c r="P23" s="24">
        <f>0.5*'Wing Info. (Ref)'!$I$2*'Wing Info. (Ref)'!$B$4*'Wing Chract. (Ref)'!$K$10*('Aero Data'!J23)^2</f>
        <v>1.6741943094116185</v>
      </c>
    </row>
    <row r="24" spans="1:18" ht="18">
      <c r="A24" s="24" t="s">
        <v>97</v>
      </c>
      <c r="B24" s="24">
        <v>24</v>
      </c>
      <c r="C24" s="24">
        <v>6</v>
      </c>
      <c r="D24" s="25"/>
      <c r="E24" s="29" t="s">
        <v>82</v>
      </c>
      <c r="F24" s="24">
        <f>SQRT((2*$B$17)/($B$7*$C$28*'Wing Chract. (Ref)'!J7))</f>
        <v>36.648698688121542</v>
      </c>
      <c r="G24" s="24">
        <f>F24*0.6828283</f>
        <v>25.024768622422265</v>
      </c>
      <c r="H24" s="25"/>
      <c r="I24" s="25"/>
      <c r="J24" s="19">
        <v>70</v>
      </c>
      <c r="K24" s="24">
        <v>47.727274000000001</v>
      </c>
      <c r="L24" s="24">
        <v>6.2990035604254799E-2</v>
      </c>
      <c r="M24" s="24">
        <f>0.5*'Wing Info. (Ref)'!$I$2*'Wing Info. (Ref)'!$B$4*'Wing Chract. (Ref)'!$J$14*('Aero Data'!J24)^2</f>
        <v>8.0661241597159385</v>
      </c>
      <c r="N24" s="24">
        <f>0.5*'Wing Info. (Ref)'!$I$2*'Wing Info. (Ref)'!$B$4*'Wing Chract. (Ref)'!$K$14*(J24)^2</f>
        <v>0.55006222198732246</v>
      </c>
      <c r="O24" s="24">
        <f>0.5*'Wing Info. (Ref)'!$I$2*'Wing Info. (Ref)'!$B$4*'Wing Chract. (Ref)'!$J$10*('Aero Data'!J24)^2</f>
        <v>23.02640170408187</v>
      </c>
      <c r="P24" s="24">
        <f>0.5*'Wing Info. (Ref)'!$I$2*'Wing Info. (Ref)'!$B$4*'Wing Chract. (Ref)'!$K$10*('Aero Data'!J24)^2</f>
        <v>1.9416691399093327</v>
      </c>
    </row>
    <row r="25" spans="1:18" ht="18">
      <c r="A25" s="24" t="s">
        <v>98</v>
      </c>
      <c r="B25" s="24">
        <f>B24*B15</f>
        <v>4.32</v>
      </c>
      <c r="C25" s="24">
        <f>C24*B15</f>
        <v>1.08</v>
      </c>
      <c r="E25" s="29" t="s">
        <v>85</v>
      </c>
      <c r="F25" s="24">
        <f>SQRT((2*$B$17)/($B$7*$C$28*'Wing Chract. (Ref)'!$J$14))</f>
        <v>69.712487906347462</v>
      </c>
      <c r="G25" s="24">
        <f t="shared" ref="G25:G26" si="0">F25*0.6828283</f>
        <v>47.601659605861798</v>
      </c>
      <c r="J25" s="19">
        <v>75</v>
      </c>
      <c r="K25" s="24">
        <v>51.136365000000005</v>
      </c>
      <c r="L25" s="24">
        <v>6.7489323861701575E-2</v>
      </c>
      <c r="M25" s="24">
        <f>0.5*'Wing Info. (Ref)'!$I$2*'Wing Info. (Ref)'!$B$4*'Wing Chract. (Ref)'!$J$14*('Aero Data'!J25)^2</f>
        <v>9.2595813057963579</v>
      </c>
      <c r="N25" s="24">
        <f>0.5*'Wing Info. (Ref)'!$I$2*'Wing Info. (Ref)'!$B$4*'Wing Chract. (Ref)'!$K$14*(J25)^2</f>
        <v>0.63144897932218147</v>
      </c>
      <c r="O25" s="24">
        <f>0.5*'Wing Info. (Ref)'!$I$2*'Wing Info. (Ref)'!$B$4*'Wing Chract. (Ref)'!$J$10*('Aero Data'!J25)^2</f>
        <v>26.433369303155207</v>
      </c>
      <c r="P25" s="24">
        <f>0.5*'Wing Info. (Ref)'!$I$2*'Wing Info. (Ref)'!$B$4*'Wing Chract. (Ref)'!$K$10*('Aero Data'!J25)^2</f>
        <v>2.228956920814285</v>
      </c>
    </row>
    <row r="26" spans="1:18" ht="18">
      <c r="A26" s="25"/>
      <c r="B26" s="25"/>
      <c r="C26" s="25"/>
      <c r="E26" s="29" t="s">
        <v>86</v>
      </c>
      <c r="F26" s="24">
        <f>SQRT((2*$B$17)/($B$7*$C$28*'Wing Chract. (Ref)'!$J$10))</f>
        <v>41.260073292665822</v>
      </c>
      <c r="G26" s="24">
        <f t="shared" si="0"/>
        <v>28.173545704306409</v>
      </c>
      <c r="J26" s="19">
        <v>80</v>
      </c>
      <c r="K26" s="24">
        <v>54.545456000000001</v>
      </c>
      <c r="L26" s="24">
        <v>7.1988612119148337E-2</v>
      </c>
      <c r="M26" s="24">
        <f>0.5*'Wing Info. (Ref)'!$I$2*'Wing Info. (Ref)'!$B$4*'Wing Chract. (Ref)'!$J$14*('Aero Data'!J26)^2</f>
        <v>10.535345841261634</v>
      </c>
      <c r="N26" s="24">
        <f>0.5*'Wing Info. (Ref)'!$I$2*'Wing Info. (Ref)'!$B$4*'Wing Chract. (Ref)'!$K$14*(J26)^2</f>
        <v>0.71844861647323754</v>
      </c>
      <c r="O26" s="24">
        <f>0.5*'Wing Info. (Ref)'!$I$2*'Wing Info. (Ref)'!$B$4*'Wing Chract. (Ref)'!$J$10*('Aero Data'!J26)^2</f>
        <v>30.075300184923258</v>
      </c>
      <c r="P26" s="24">
        <f>0.5*'Wing Info. (Ref)'!$I$2*'Wing Info. (Ref)'!$B$4*'Wing Chract. (Ref)'!$K$10*('Aero Data'!J26)^2</f>
        <v>2.5360576521264755</v>
      </c>
    </row>
    <row r="27" spans="1:18" ht="17.25">
      <c r="A27" s="24"/>
      <c r="B27" s="24" t="s">
        <v>35</v>
      </c>
      <c r="C27" s="24" t="s">
        <v>36</v>
      </c>
      <c r="J27" s="19">
        <v>85</v>
      </c>
      <c r="K27" s="24">
        <v>57.954547000000005</v>
      </c>
      <c r="L27" s="24">
        <v>7.6487900376595114E-2</v>
      </c>
      <c r="M27" s="24">
        <f>0.5*'Wing Info. (Ref)'!$I$2*'Wing Info. (Ref)'!$B$4*'Wing Chract. (Ref)'!$J$14*('Aero Data'!J27)^2</f>
        <v>11.893417766111767</v>
      </c>
      <c r="N27" s="24">
        <f>0.5*'Wing Info. (Ref)'!$I$2*'Wing Info. (Ref)'!$B$4*'Wing Chract. (Ref)'!$K$14*(J27)^2</f>
        <v>0.8110611334404908</v>
      </c>
      <c r="O27" s="24">
        <f>0.5*'Wing Info. (Ref)'!$I$2*'Wing Info. (Ref)'!$B$4*'Wing Chract. (Ref)'!$J$10*('Aero Data'!J27)^2</f>
        <v>33.952194349386026</v>
      </c>
      <c r="P27" s="24">
        <f>0.5*'Wing Info. (Ref)'!$I$2*'Wing Info. (Ref)'!$B$4*'Wing Chract. (Ref)'!$K$10*('Aero Data'!J27)^2</f>
        <v>2.8629713338459037</v>
      </c>
    </row>
    <row r="28" spans="1:18">
      <c r="A28" s="24" t="s">
        <v>32</v>
      </c>
      <c r="B28" s="24">
        <v>745.63199999999995</v>
      </c>
      <c r="C28" s="24">
        <f>B28/144</f>
        <v>5.1779999999999999</v>
      </c>
      <c r="J28" s="19">
        <v>90</v>
      </c>
      <c r="K28" s="24">
        <v>61.363638000000002</v>
      </c>
      <c r="L28" s="24">
        <v>8.098718863404189E-2</v>
      </c>
      <c r="M28" s="24">
        <f>0.5*'Wing Info. (Ref)'!$I$2*'Wing Info. (Ref)'!$B$4*'Wing Chract. (Ref)'!$J$14*('Aero Data'!J28)^2</f>
        <v>13.333797080346756</v>
      </c>
      <c r="N28" s="24">
        <f>0.5*'Wing Info. (Ref)'!$I$2*'Wing Info. (Ref)'!$B$4*'Wing Chract. (Ref)'!$K$14*(J28)^2</f>
        <v>0.90928653022394135</v>
      </c>
      <c r="O28" s="24">
        <f>0.5*'Wing Info. (Ref)'!$I$2*'Wing Info. (Ref)'!$B$4*'Wing Chract. (Ref)'!$J$10*('Aero Data'!J28)^2</f>
        <v>38.064051796543502</v>
      </c>
      <c r="P28" s="24">
        <f>0.5*'Wing Info. (Ref)'!$I$2*'Wing Info. (Ref)'!$B$4*'Wing Chract. (Ref)'!$K$10*('Aero Data'!J28)^2</f>
        <v>3.2096979659725702</v>
      </c>
    </row>
    <row r="29" spans="1:18">
      <c r="J29" s="19">
        <v>95</v>
      </c>
      <c r="K29" s="24">
        <v>64.772728999999998</v>
      </c>
      <c r="L29" s="24">
        <v>8.5486476891488652E-2</v>
      </c>
      <c r="M29" s="24">
        <f>0.5*'Wing Info. (Ref)'!$I$2*'Wing Info. (Ref)'!$B$4*'Wing Chract. (Ref)'!$J$14*('Aero Data'!J29)^2</f>
        <v>14.856483783966601</v>
      </c>
      <c r="N29" s="24">
        <f>0.5*'Wing Info. (Ref)'!$I$2*'Wing Info. (Ref)'!$B$4*'Wing Chract. (Ref)'!$K$14*(J29)^2</f>
        <v>1.013124806823589</v>
      </c>
      <c r="O29" s="24">
        <f>0.5*'Wing Info. (Ref)'!$I$2*'Wing Info. (Ref)'!$B$4*'Wing Chract. (Ref)'!$J$10*('Aero Data'!J29)^2</f>
        <v>42.410872526395693</v>
      </c>
      <c r="P29" s="24">
        <f>0.5*'Wing Info. (Ref)'!$I$2*'Wing Info. (Ref)'!$B$4*'Wing Chract. (Ref)'!$K$10*('Aero Data'!J29)^2</f>
        <v>3.5762375485064748</v>
      </c>
    </row>
    <row r="30" spans="1:18">
      <c r="A30" s="24"/>
      <c r="B30" s="24" t="s">
        <v>52</v>
      </c>
      <c r="C30" s="24" t="s">
        <v>61</v>
      </c>
      <c r="J30" s="19">
        <v>100</v>
      </c>
      <c r="K30" s="24">
        <v>68.181820000000002</v>
      </c>
      <c r="L30" s="24">
        <v>8.9985765148935429E-2</v>
      </c>
      <c r="M30" s="24">
        <f>0.5*'Wing Info. (Ref)'!$I$2*'Wing Info. (Ref)'!$B$4*'Wing Chract. (Ref)'!$J$14*('Aero Data'!J30)^2</f>
        <v>16.461477876971305</v>
      </c>
      <c r="N30" s="24">
        <f>0.5*'Wing Info. (Ref)'!$I$2*'Wing Info. (Ref)'!$B$4*'Wing Chract. (Ref)'!$K$14*(J30)^2</f>
        <v>1.1225759632394336</v>
      </c>
      <c r="O30" s="24">
        <f>0.5*'Wing Info. (Ref)'!$I$2*'Wing Info. (Ref)'!$B$4*'Wing Chract. (Ref)'!$J$10*('Aero Data'!J30)^2</f>
        <v>46.99265653894259</v>
      </c>
      <c r="P30" s="24">
        <f>0.5*'Wing Info. (Ref)'!$I$2*'Wing Info. (Ref)'!$B$4*'Wing Chract. (Ref)'!$K$10*('Aero Data'!J30)^2</f>
        <v>3.9625900814476176</v>
      </c>
    </row>
    <row r="31" spans="1:18">
      <c r="A31" s="24" t="s">
        <v>71</v>
      </c>
      <c r="B31" s="24">
        <v>9.827</v>
      </c>
      <c r="C31" s="24">
        <f>B31*PI()/180</f>
        <v>0.17151350559348277</v>
      </c>
      <c r="J31" s="19">
        <v>105</v>
      </c>
      <c r="K31" s="24">
        <v>71.590911000000006</v>
      </c>
      <c r="L31" s="24">
        <v>9.4485053406382205E-2</v>
      </c>
      <c r="M31" s="24">
        <f>0.5*'Wing Info. (Ref)'!$I$2*'Wing Info. (Ref)'!$B$4*'Wing Chract. (Ref)'!$J$14*('Aero Data'!J31)^2</f>
        <v>18.148779359360862</v>
      </c>
      <c r="N31" s="24">
        <f>0.5*'Wing Info. (Ref)'!$I$2*'Wing Info. (Ref)'!$B$4*'Wing Chract. (Ref)'!$K$14*(J31)^2</f>
        <v>1.2376399994714757</v>
      </c>
      <c r="O31" s="24">
        <f>0.5*'Wing Info. (Ref)'!$I$2*'Wing Info. (Ref)'!$B$4*'Wing Chract. (Ref)'!$J$10*('Aero Data'!J31)^2</f>
        <v>51.809403834184209</v>
      </c>
      <c r="P31" s="24">
        <f>0.5*'Wing Info. (Ref)'!$I$2*'Wing Info. (Ref)'!$B$4*'Wing Chract. (Ref)'!$K$10*('Aero Data'!J31)^2</f>
        <v>4.3687555647959986</v>
      </c>
    </row>
    <row r="32" spans="1:18">
      <c r="A32" s="24" t="s">
        <v>72</v>
      </c>
      <c r="B32" s="24">
        <v>9.0960000000000001</v>
      </c>
      <c r="C32" s="24">
        <f>B32*PI()/180</f>
        <v>0.1587551487614042</v>
      </c>
      <c r="J32" s="19">
        <v>110</v>
      </c>
      <c r="K32" s="24">
        <v>75.000002000000009</v>
      </c>
      <c r="L32" s="24">
        <v>9.8984341663828967E-2</v>
      </c>
      <c r="M32" s="24">
        <f>0.5*'Wing Info. (Ref)'!$I$2*'Wing Info. (Ref)'!$B$4*'Wing Chract. (Ref)'!$J$14*('Aero Data'!J32)^2</f>
        <v>19.918388231135278</v>
      </c>
      <c r="N32" s="24">
        <f>0.5*'Wing Info. (Ref)'!$I$2*'Wing Info. (Ref)'!$B$4*'Wing Chract. (Ref)'!$K$14*(J32)^2</f>
        <v>1.3583169155197148</v>
      </c>
      <c r="O32" s="24">
        <f>0.5*'Wing Info. (Ref)'!$I$2*'Wing Info. (Ref)'!$B$4*'Wing Chract. (Ref)'!$J$10*('Aero Data'!J32)^2</f>
        <v>56.861114412120536</v>
      </c>
      <c r="P32" s="24">
        <f>0.5*'Wing Info. (Ref)'!$I$2*'Wing Info. (Ref)'!$B$4*'Wing Chract. (Ref)'!$K$10*('Aero Data'!J32)^2</f>
        <v>4.7947339985516173</v>
      </c>
    </row>
    <row r="33" spans="1:16">
      <c r="L33" s="26"/>
      <c r="M33" s="31"/>
      <c r="N33" s="26"/>
      <c r="O33" s="26"/>
      <c r="P33" s="26"/>
    </row>
    <row r="34" spans="1:16">
      <c r="A34" s="24" t="s">
        <v>20</v>
      </c>
      <c r="B34" s="24">
        <f>C24/B24</f>
        <v>0.25</v>
      </c>
      <c r="L34" s="26"/>
      <c r="M34" s="26"/>
      <c r="N34" s="26"/>
      <c r="O34" s="26"/>
      <c r="P34" s="26"/>
    </row>
    <row r="35" spans="1:16">
      <c r="A35" s="24" t="s">
        <v>50</v>
      </c>
      <c r="B35" s="24">
        <f>(2/3)*B24*(1+B34+B34^2)/(1+B34)</f>
        <v>16.8</v>
      </c>
      <c r="L35" s="26"/>
      <c r="M35" s="26"/>
      <c r="N35" s="26"/>
      <c r="O35" s="26"/>
      <c r="P35" s="26"/>
    </row>
    <row r="36" spans="1:16">
      <c r="A36" s="24" t="s">
        <v>51</v>
      </c>
      <c r="B36" s="24">
        <f>(12*B16/6)*((1+2*B34)/(1+B34))</f>
        <v>10.799999999999999</v>
      </c>
      <c r="L36" s="26"/>
      <c r="M36" s="26"/>
      <c r="N36" s="26"/>
      <c r="O36" s="26"/>
      <c r="P36" s="26"/>
    </row>
    <row r="37" spans="1:16">
      <c r="L37" s="26"/>
      <c r="M37" s="26"/>
      <c r="N37" s="26"/>
      <c r="O37" s="26"/>
      <c r="P37" s="26"/>
    </row>
    <row r="38" spans="1:16">
      <c r="L38" s="26"/>
      <c r="M38" s="26"/>
      <c r="N38" s="26"/>
      <c r="O38" s="26"/>
      <c r="P38" s="26"/>
    </row>
    <row r="39" spans="1:16">
      <c r="L39" s="26"/>
      <c r="M39" s="26"/>
      <c r="N39" s="26"/>
      <c r="O39" s="26"/>
      <c r="P39" s="26"/>
    </row>
    <row r="40" spans="1:16">
      <c r="L40" s="26"/>
      <c r="M40" s="26"/>
      <c r="N40" s="26"/>
      <c r="O40" s="26"/>
      <c r="P40" s="26"/>
    </row>
    <row r="41" spans="1:16">
      <c r="L41" s="26"/>
      <c r="M41" s="26"/>
      <c r="N41" s="26"/>
      <c r="O41" s="26"/>
      <c r="P41" s="26"/>
    </row>
    <row r="42" spans="1:16">
      <c r="L42" s="26"/>
      <c r="M42" s="26"/>
      <c r="N42" s="26"/>
      <c r="O42" s="26"/>
      <c r="P42" s="26"/>
    </row>
    <row r="43" spans="1:16">
      <c r="L43" s="26"/>
      <c r="M43" s="26"/>
      <c r="N43" s="26"/>
      <c r="O43" s="26"/>
      <c r="P43" s="26"/>
    </row>
  </sheetData>
  <mergeCells count="6">
    <mergeCell ref="T16:U16"/>
    <mergeCell ref="Q20:R20"/>
    <mergeCell ref="M13:N13"/>
    <mergeCell ref="O13:P13"/>
    <mergeCell ref="A3:B3"/>
    <mergeCell ref="Q16:R1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"/>
  <sheetViews>
    <sheetView workbookViewId="0">
      <selection activeCell="E3" sqref="E3"/>
    </sheetView>
  </sheetViews>
  <sheetFormatPr defaultRowHeight="15"/>
  <cols>
    <col min="1" max="1" width="16.85546875" style="12" bestFit="1" customWidth="1"/>
    <col min="2" max="2" width="11" style="12" bestFit="1" customWidth="1"/>
    <col min="3" max="3" width="11" style="12" customWidth="1"/>
    <col min="4" max="4" width="21.85546875" style="12" bestFit="1" customWidth="1"/>
    <col min="5" max="5" width="10" style="12" customWidth="1"/>
    <col min="6" max="6" width="12" style="12" bestFit="1" customWidth="1"/>
    <col min="7" max="7" width="12.140625" style="12" bestFit="1" customWidth="1"/>
    <col min="8" max="9" width="11.42578125" style="12" customWidth="1"/>
    <col min="10" max="10" width="11.85546875" style="12" bestFit="1" customWidth="1"/>
    <col min="11" max="11" width="11.140625" style="12" bestFit="1" customWidth="1"/>
    <col min="12" max="12" width="24.28515625" style="12" bestFit="1" customWidth="1"/>
    <col min="13" max="13" width="11.85546875" style="12" bestFit="1" customWidth="1"/>
    <col min="14" max="14" width="11.140625" style="12" bestFit="1" customWidth="1"/>
    <col min="15" max="16" width="17.42578125" style="12" bestFit="1" customWidth="1"/>
    <col min="17" max="16384" width="9.140625" style="12"/>
  </cols>
  <sheetData>
    <row r="1" spans="1:20" ht="17.25">
      <c r="A1" s="11" t="s">
        <v>26</v>
      </c>
      <c r="B1" s="11" t="s">
        <v>59</v>
      </c>
      <c r="C1" s="10"/>
      <c r="D1" s="11" t="s">
        <v>31</v>
      </c>
      <c r="E1" s="11">
        <v>8</v>
      </c>
      <c r="F1" s="10"/>
      <c r="G1" s="11"/>
      <c r="H1" s="11" t="s">
        <v>35</v>
      </c>
      <c r="I1" s="11" t="s">
        <v>36</v>
      </c>
      <c r="K1" s="9" t="s">
        <v>20</v>
      </c>
      <c r="L1" s="9" t="s">
        <v>50</v>
      </c>
      <c r="M1" s="9" t="s">
        <v>51</v>
      </c>
    </row>
    <row r="2" spans="1:20" ht="18">
      <c r="A2" s="11" t="s">
        <v>21</v>
      </c>
      <c r="B2" s="11">
        <v>250000</v>
      </c>
      <c r="C2" s="10"/>
      <c r="D2" s="11" t="s">
        <v>55</v>
      </c>
      <c r="E2" s="11">
        <v>33.340000000000003</v>
      </c>
      <c r="F2" s="10"/>
      <c r="G2" s="11" t="s">
        <v>32</v>
      </c>
      <c r="H2" s="11">
        <v>745.63199999999995</v>
      </c>
      <c r="I2" s="11">
        <f>H2/144</f>
        <v>5.1779999999999999</v>
      </c>
      <c r="J2" s="10"/>
      <c r="K2" s="11">
        <f>C7/B7</f>
        <v>0.25</v>
      </c>
      <c r="L2" s="11">
        <f>(2/3)*B7*(1+K2+K2^2)/(1+K2)</f>
        <v>16.8</v>
      </c>
      <c r="M2" s="11">
        <f>(12*E3/6)*((1+2*K2)/(1+K2))</f>
        <v>10.799999999999999</v>
      </c>
      <c r="N2" s="10"/>
      <c r="O2" s="10"/>
    </row>
    <row r="3" spans="1:20">
      <c r="A3" s="11" t="s">
        <v>17</v>
      </c>
      <c r="B3" s="11">
        <v>0.18</v>
      </c>
      <c r="C3" s="10"/>
      <c r="D3" s="11" t="s">
        <v>33</v>
      </c>
      <c r="E3" s="11">
        <v>4.5</v>
      </c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20" ht="18.75">
      <c r="A4" s="7" t="s">
        <v>34</v>
      </c>
      <c r="B4" s="11">
        <v>2.2878199999999999E-3</v>
      </c>
      <c r="C4" s="10"/>
      <c r="D4" s="10"/>
      <c r="E4" s="10"/>
      <c r="F4" s="10"/>
      <c r="G4" s="9" t="s">
        <v>60</v>
      </c>
      <c r="H4" s="42" t="s">
        <v>65</v>
      </c>
      <c r="I4" s="42"/>
      <c r="J4" s="42" t="s">
        <v>67</v>
      </c>
      <c r="K4" s="42"/>
      <c r="M4" s="43" t="s">
        <v>77</v>
      </c>
      <c r="N4" s="43"/>
      <c r="O4" s="10"/>
    </row>
    <row r="5" spans="1:20">
      <c r="A5" s="10"/>
      <c r="B5" s="10"/>
      <c r="C5" s="10"/>
      <c r="D5" s="10"/>
      <c r="E5" s="11" t="s">
        <v>7</v>
      </c>
      <c r="F5" s="10"/>
      <c r="G5" s="9" t="s">
        <v>52</v>
      </c>
      <c r="H5" s="9" t="s">
        <v>53</v>
      </c>
      <c r="I5" s="9" t="s">
        <v>54</v>
      </c>
      <c r="J5" s="9" t="s">
        <v>53</v>
      </c>
      <c r="K5" s="9" t="s">
        <v>54</v>
      </c>
      <c r="M5" s="15" t="s">
        <v>53</v>
      </c>
      <c r="N5" s="15" t="s">
        <v>54</v>
      </c>
      <c r="O5" s="10"/>
    </row>
    <row r="6" spans="1:20">
      <c r="A6" s="11"/>
      <c r="B6" s="11" t="s">
        <v>27</v>
      </c>
      <c r="C6" s="11" t="s">
        <v>28</v>
      </c>
      <c r="D6" s="10"/>
      <c r="E6" s="11">
        <f>4.61*(1-0.045*F11^(0.68))*(COS(C12))^0.15-3.1</f>
        <v>0.97786448664124803</v>
      </c>
      <c r="F6" s="10"/>
      <c r="G6" s="9">
        <f>('Wing Chract. (Ref)'!A16)-(('Wing Chract. (Ref)'!B16)/(('Wing Chract. (Ref)'!B16-'Wing Chract. (Ref)'!B17)/('Wing Chract. (Ref)'!A16-'Wing Chract. (Ref)'!A17)))</f>
        <v>-4.3133553563001419</v>
      </c>
      <c r="H6" s="9">
        <f>('Wing Chract. (Ref)'!B14-0)/(0-'Wing Info. (Ref)'!G6)</f>
        <v>0.10351570021881837</v>
      </c>
      <c r="I6" s="9">
        <f>H6*180/PI()</f>
        <v>5.9310127358797455</v>
      </c>
      <c r="J6" s="9">
        <f>K6*PI()/180</f>
        <v>6.4431713472706209E-2</v>
      </c>
      <c r="K6" s="9">
        <f>I6*COS(C11)/(SQRT(1+(I6*COS(C11)/(PI()*F11))^2)+(I6*COS(C11)/(PI()*F11)))</f>
        <v>3.6916652487822712</v>
      </c>
      <c r="M6" s="15">
        <f>('Wing Chract. (Ref)'!E12-'Wing Chract. (Ref)'!E17)/('Wing Chract. (Ref)'!A12-'Wing Chract. (Ref)'!A17)</f>
        <v>5.5000000000000047E-4</v>
      </c>
      <c r="N6" s="15">
        <f>M6*180/PI()</f>
        <v>3.1512678732195307E-2</v>
      </c>
      <c r="Q6" s="10"/>
      <c r="R6" s="10"/>
      <c r="S6" s="10"/>
      <c r="T6" s="10"/>
    </row>
    <row r="7" spans="1:20">
      <c r="A7" s="11" t="s">
        <v>29</v>
      </c>
      <c r="B7" s="11">
        <v>24</v>
      </c>
      <c r="C7" s="11">
        <v>6</v>
      </c>
      <c r="D7" s="10"/>
      <c r="H7" s="14">
        <f>('Wing Chract. (Ref)'!B8-'Wing Chract. (Ref)'!B9)/('Wing Chract. (Ref)'!A8-'Wing Chract. (Ref)'!A9)</f>
        <v>4.3849999999999945E-2</v>
      </c>
      <c r="I7" s="14">
        <f>H7*180/PI()</f>
        <v>2.5124199316486568</v>
      </c>
      <c r="J7" s="14">
        <f>K7*PI()/180</f>
        <v>3.5369139121266283E-2</v>
      </c>
      <c r="K7" s="14">
        <f>I7*COS(C11)/(SQRT(1+(I7*COS(C11)/(PI()*F11))^2)+(I7*COS(C11)/(PI()*F11)))</f>
        <v>2.0265023966596072</v>
      </c>
      <c r="L7" s="10"/>
      <c r="M7" s="10"/>
      <c r="N7" s="10"/>
      <c r="O7" s="10"/>
      <c r="P7" s="10"/>
    </row>
    <row r="8" spans="1:20">
      <c r="A8" s="11" t="s">
        <v>30</v>
      </c>
      <c r="B8" s="11">
        <f>B7*B3</f>
        <v>4.32</v>
      </c>
      <c r="C8" s="11">
        <f>C7*B3</f>
        <v>1.08</v>
      </c>
      <c r="D8" s="10"/>
      <c r="H8" s="42" t="s">
        <v>66</v>
      </c>
      <c r="I8" s="42"/>
      <c r="J8" s="44" t="s">
        <v>68</v>
      </c>
      <c r="K8" s="45"/>
      <c r="L8" s="13"/>
      <c r="M8" s="10"/>
      <c r="N8" s="10"/>
      <c r="O8" s="10"/>
    </row>
    <row r="9" spans="1:20">
      <c r="A9" s="10"/>
      <c r="B9" s="10"/>
      <c r="C9" s="10"/>
      <c r="D9" s="10"/>
      <c r="L9" s="13"/>
      <c r="N9" s="6"/>
      <c r="O9" s="6"/>
    </row>
    <row r="10" spans="1:20" ht="18">
      <c r="A10" s="9"/>
      <c r="B10" s="11" t="s">
        <v>52</v>
      </c>
      <c r="C10" s="11" t="s">
        <v>61</v>
      </c>
      <c r="D10" s="10"/>
      <c r="E10" s="11"/>
      <c r="F10" s="11" t="s">
        <v>19</v>
      </c>
      <c r="G10" s="11" t="s">
        <v>18</v>
      </c>
      <c r="H10" s="11" t="s">
        <v>46</v>
      </c>
      <c r="I10" s="11" t="s">
        <v>47</v>
      </c>
      <c r="J10" s="11" t="s">
        <v>48</v>
      </c>
      <c r="K10" s="11" t="s">
        <v>49</v>
      </c>
      <c r="L10" s="11" t="s">
        <v>56</v>
      </c>
      <c r="O10" s="10"/>
    </row>
    <row r="11" spans="1:20">
      <c r="A11" s="11" t="s">
        <v>71</v>
      </c>
      <c r="B11" s="11">
        <v>-9.827</v>
      </c>
      <c r="C11" s="11">
        <f>B11*PI()/180</f>
        <v>-0.17151350559348277</v>
      </c>
      <c r="D11" s="10"/>
      <c r="E11" s="11" t="s">
        <v>44</v>
      </c>
      <c r="F11" s="22">
        <f>E3^2/I2</f>
        <v>3.9107763615295483</v>
      </c>
      <c r="G11" s="11">
        <f>((-M6/H6)+0.25)*100</f>
        <v>24.468679631362804</v>
      </c>
      <c r="H11" s="11">
        <f>SQRT((2*$E$1)/($B$4*$I$2*'Wing Chract. (Ref)'!B9))</f>
        <v>31.034701682411335</v>
      </c>
      <c r="I11" s="11">
        <f>SQRT((2*$E$1)/($B$4*$I$2*'Wing Chract. (Ref)'!$B$14))</f>
        <v>54.999318801693342</v>
      </c>
      <c r="J11" s="11">
        <f>0.5*'Wing Chract. (Ref)'!B9*$I$2*$B$4*$H$11^2</f>
        <v>8.0000000000000018</v>
      </c>
      <c r="K11" s="11">
        <f>0.5*'Wing Chract. (Ref)'!$B$14*$I$2*$B$4*$I$11^2</f>
        <v>8.0000000000000018</v>
      </c>
      <c r="L11" s="11">
        <f>0.5*'Wing Chract. (Ref)'!$B$14*$I$2*$B$4*$E$2^2</f>
        <v>2.9397239925575254</v>
      </c>
      <c r="M11" s="10"/>
      <c r="N11" s="10"/>
      <c r="O11" s="10"/>
    </row>
    <row r="12" spans="1:20">
      <c r="A12" s="11" t="s">
        <v>72</v>
      </c>
      <c r="B12" s="11">
        <v>9.0960000000000001</v>
      </c>
      <c r="C12" s="11">
        <f>B12*PI()/180</f>
        <v>0.1587551487614042</v>
      </c>
      <c r="D12" s="10"/>
      <c r="E12" s="11" t="s">
        <v>45</v>
      </c>
      <c r="F12" s="23"/>
      <c r="G12" s="11"/>
      <c r="H12" s="11">
        <f>SQRT((2*$E$1)/($B$4*$I$2*'Wing Chract. (Ref)'!J7))</f>
        <v>36.648698688121542</v>
      </c>
      <c r="I12" s="11">
        <f>SQRT((2*$E$1)/($B$4*$I$2*'Wing Chract. (Ref)'!$J$14))</f>
        <v>69.712487906347462</v>
      </c>
      <c r="J12" s="11">
        <f>0.5*'Wing Chract. (Ref)'!J7*$I$2*$B$4*$H$12^2</f>
        <v>8</v>
      </c>
      <c r="K12" s="11">
        <f>0.5*'Wing Chract. (Ref)'!$J$14*$I$2*$B$4*$I$12^2</f>
        <v>8</v>
      </c>
      <c r="L12" s="11">
        <f>0.5*'Wing Chract. (Ref)'!$J$14*$I$2*$B$4*$E$2^2</f>
        <v>1.8297847918423567</v>
      </c>
      <c r="M12" s="10"/>
      <c r="N12" s="10"/>
      <c r="O12" s="10"/>
    </row>
    <row r="13" spans="1:20">
      <c r="A13" s="10"/>
      <c r="B13" s="10"/>
      <c r="C13" s="10"/>
      <c r="D13" s="10"/>
      <c r="F13" s="10"/>
      <c r="G13" s="10"/>
      <c r="H13" s="5"/>
      <c r="I13" s="5"/>
      <c r="J13" s="10"/>
      <c r="K13" s="5"/>
      <c r="L13" s="10"/>
    </row>
    <row r="14" spans="1:20" ht="15" customHeight="1">
      <c r="A14" s="10"/>
      <c r="B14" s="10"/>
      <c r="C14" s="10"/>
      <c r="E14" s="10"/>
      <c r="F14" s="10"/>
      <c r="G14" s="10"/>
      <c r="I14" s="10"/>
      <c r="J14" s="10"/>
      <c r="L14" s="10"/>
    </row>
    <row r="15" spans="1:20" ht="15" customHeight="1">
      <c r="A15" s="10"/>
      <c r="B15" s="10"/>
      <c r="C15" s="10"/>
      <c r="E15" s="10"/>
      <c r="F15" s="10"/>
      <c r="G15" s="10"/>
      <c r="H15" s="10"/>
      <c r="I15" s="10"/>
      <c r="J15" s="10"/>
      <c r="K15" s="10"/>
    </row>
    <row r="16" spans="1:20" ht="15" customHeight="1">
      <c r="E16" s="5"/>
      <c r="F16" s="5"/>
      <c r="G16" s="10"/>
      <c r="H16" s="10"/>
      <c r="I16" s="10"/>
      <c r="J16" s="10"/>
      <c r="K16" s="10"/>
    </row>
    <row r="17" spans="2:2" ht="15" customHeight="1"/>
    <row r="18" spans="2:2">
      <c r="B18" s="10"/>
    </row>
    <row r="19" spans="2:2">
      <c r="B19" s="10"/>
    </row>
    <row r="20" spans="2:2" ht="15" customHeight="1"/>
  </sheetData>
  <mergeCells count="5">
    <mergeCell ref="M4:N4"/>
    <mergeCell ref="H4:I4"/>
    <mergeCell ref="J4:K4"/>
    <mergeCell ref="H8:I8"/>
    <mergeCell ref="J8:K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workbookViewId="0">
      <selection activeCell="K14" sqref="K14"/>
    </sheetView>
  </sheetViews>
  <sheetFormatPr defaultRowHeight="15"/>
  <cols>
    <col min="1" max="1" width="10.28515625" style="10" bestFit="1" customWidth="1"/>
    <col min="2" max="2" width="7.85546875" style="10" bestFit="1" customWidth="1"/>
    <col min="3" max="3" width="9.140625" style="10" bestFit="1" customWidth="1"/>
    <col min="4" max="4" width="8" style="10" bestFit="1" customWidth="1"/>
    <col min="5" max="5" width="9.140625" style="10"/>
    <col min="6" max="6" width="9" style="10" bestFit="1" customWidth="1"/>
    <col min="7" max="7" width="8" style="10" bestFit="1" customWidth="1"/>
    <col min="8" max="8" width="5.5703125" style="10" bestFit="1" customWidth="1"/>
    <col min="9" max="9" width="13.7109375" style="10" customWidth="1"/>
    <col min="10" max="16384" width="9.140625" style="10"/>
  </cols>
  <sheetData>
    <row r="1" spans="1:22">
      <c r="A1" s="8"/>
      <c r="B1" s="8"/>
      <c r="C1" s="8"/>
      <c r="D1" s="8"/>
      <c r="E1" s="8"/>
      <c r="F1" s="8"/>
      <c r="G1" s="8"/>
      <c r="H1" s="8"/>
      <c r="O1" s="10" t="s">
        <v>43</v>
      </c>
      <c r="P1" s="10" t="s">
        <v>42</v>
      </c>
    </row>
    <row r="2" spans="1:22">
      <c r="A2" s="8" t="s">
        <v>8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10</v>
      </c>
      <c r="G2" s="8" t="s">
        <v>11</v>
      </c>
      <c r="H2" s="8"/>
      <c r="I2" s="10" t="s">
        <v>37</v>
      </c>
      <c r="J2" s="8" t="s">
        <v>9</v>
      </c>
      <c r="K2" s="8" t="s">
        <v>38</v>
      </c>
      <c r="L2" s="8" t="s">
        <v>39</v>
      </c>
      <c r="M2" s="8" t="s">
        <v>40</v>
      </c>
      <c r="N2" s="8" t="s">
        <v>12</v>
      </c>
      <c r="O2" s="8" t="s">
        <v>41</v>
      </c>
      <c r="P2" s="8" t="s">
        <v>13</v>
      </c>
    </row>
    <row r="3" spans="1:22">
      <c r="A3" s="8" t="s">
        <v>14</v>
      </c>
      <c r="B3" s="8" t="s">
        <v>15</v>
      </c>
      <c r="C3" s="8" t="s">
        <v>16</v>
      </c>
      <c r="D3" s="8" t="s">
        <v>16</v>
      </c>
      <c r="E3" s="8" t="s">
        <v>15</v>
      </c>
      <c r="F3" s="8" t="s">
        <v>15</v>
      </c>
      <c r="G3" s="8" t="s">
        <v>15</v>
      </c>
      <c r="H3" s="8"/>
      <c r="I3" s="8" t="s">
        <v>15</v>
      </c>
      <c r="J3" s="8" t="s">
        <v>15</v>
      </c>
      <c r="K3" s="8" t="s">
        <v>15</v>
      </c>
      <c r="L3" s="8" t="s">
        <v>15</v>
      </c>
      <c r="M3" s="8" t="s">
        <v>15</v>
      </c>
      <c r="N3" s="8" t="s">
        <v>15</v>
      </c>
      <c r="O3" s="8" t="s">
        <v>15</v>
      </c>
      <c r="P3" s="8" t="s">
        <v>15</v>
      </c>
    </row>
    <row r="4" spans="1:22">
      <c r="A4" s="8">
        <v>20</v>
      </c>
      <c r="B4" s="8">
        <v>1.4504999999999999</v>
      </c>
      <c r="C4" s="8">
        <v>0.11448999999999999</v>
      </c>
      <c r="D4" s="8">
        <v>0.10857</v>
      </c>
      <c r="E4" s="8">
        <v>-3.5799999999999998E-2</v>
      </c>
      <c r="F4" s="8">
        <v>9.2100000000000001E-2</v>
      </c>
      <c r="G4" s="8">
        <v>1</v>
      </c>
      <c r="H4" s="8"/>
      <c r="M4" s="10">
        <f>B4/C4</f>
        <v>12.669228753602935</v>
      </c>
      <c r="O4" s="10">
        <f>1/M4</f>
        <v>7.8931402964494995E-2</v>
      </c>
    </row>
    <row r="5" spans="1:22">
      <c r="A5" s="8">
        <v>18</v>
      </c>
      <c r="B5" s="8">
        <v>1.4718</v>
      </c>
      <c r="C5" s="8">
        <v>8.7069999999999995E-2</v>
      </c>
      <c r="D5" s="8">
        <v>8.0890000000000004E-2</v>
      </c>
      <c r="E5" s="8">
        <v>-3.09E-2</v>
      </c>
      <c r="F5" s="8">
        <v>0.12280000000000001</v>
      </c>
      <c r="G5" s="8">
        <v>1</v>
      </c>
      <c r="H5" s="8"/>
      <c r="M5" s="10">
        <f t="shared" ref="M5:M23" si="0">B5/C5</f>
        <v>16.903640748822788</v>
      </c>
      <c r="O5" s="10">
        <f t="shared" ref="O5:P23" si="1">1/M5</f>
        <v>5.9158853105041438E-2</v>
      </c>
    </row>
    <row r="6" spans="1:22">
      <c r="A6" s="8">
        <v>16</v>
      </c>
      <c r="B6" s="8">
        <v>1.5117</v>
      </c>
      <c r="C6" s="8">
        <v>5.91E-2</v>
      </c>
      <c r="D6" s="8">
        <v>5.2720000000000003E-2</v>
      </c>
      <c r="E6" s="8">
        <v>-3.0800000000000001E-2</v>
      </c>
      <c r="F6" s="8">
        <v>0.17</v>
      </c>
      <c r="G6" s="8">
        <v>1</v>
      </c>
      <c r="H6" s="8"/>
      <c r="I6" s="13"/>
      <c r="K6" s="8"/>
      <c r="M6" s="10">
        <f t="shared" si="0"/>
        <v>25.578680203045685</v>
      </c>
      <c r="O6" s="10">
        <f t="shared" si="1"/>
        <v>3.9095058543361781E-2</v>
      </c>
      <c r="S6" s="13" t="s">
        <v>62</v>
      </c>
      <c r="T6" s="13" t="s">
        <v>63</v>
      </c>
      <c r="U6" s="13" t="s">
        <v>64</v>
      </c>
    </row>
    <row r="7" spans="1:22">
      <c r="A7" s="8">
        <v>14</v>
      </c>
      <c r="B7" s="8">
        <v>1.5266</v>
      </c>
      <c r="C7" s="8">
        <v>3.7740000000000003E-2</v>
      </c>
      <c r="D7" s="8">
        <v>3.1140000000000001E-2</v>
      </c>
      <c r="E7" s="8">
        <v>-3.7900000000000003E-2</v>
      </c>
      <c r="F7" s="8">
        <v>0.23499999999999999</v>
      </c>
      <c r="G7" s="8">
        <v>1</v>
      </c>
      <c r="H7" s="8"/>
      <c r="I7" s="13">
        <f>'Wing Info. (Ref)'!$H$7*('Wing Chract. (Ref)'!A7-$A$10)+$I$26</f>
        <v>1.5377256017505467</v>
      </c>
      <c r="J7" s="13">
        <f>'Wing Info. (Ref)'!$J$7*('Wing Chract. (Ref)'!A7-$A$10)+$J$26</f>
        <v>1.0055854189323408</v>
      </c>
      <c r="K7" s="8">
        <v>0.10563604437437683</v>
      </c>
      <c r="M7" s="10">
        <f t="shared" si="0"/>
        <v>40.450450450450447</v>
      </c>
      <c r="N7" s="10">
        <f t="shared" ref="N7:N20" si="2">J7/K7</f>
        <v>9.5193399647616523</v>
      </c>
      <c r="O7" s="10">
        <f t="shared" si="1"/>
        <v>2.472160356347439E-2</v>
      </c>
      <c r="P7" s="10">
        <f t="shared" si="1"/>
        <v>0.10504930002518702</v>
      </c>
      <c r="S7" s="13">
        <f>0.1035*((A7-((57.3*J7)/(PI()*3.6)))-(-4.313))</f>
        <v>1.3680908930132381</v>
      </c>
      <c r="T7" s="13">
        <f>J7^2/(PI()*'Wing Info. (Ref)'!$F$11*'Wing Info. (Ref)'!$E$6)</f>
        <v>8.4167883537551683E-2</v>
      </c>
      <c r="U7" s="10">
        <v>1.9958E-2</v>
      </c>
      <c r="V7" s="13">
        <f t="shared" ref="V7:V20" si="3">T7+U7</f>
        <v>0.10412588353755169</v>
      </c>
    </row>
    <row r="8" spans="1:22">
      <c r="A8" s="8">
        <v>12</v>
      </c>
      <c r="B8" s="8">
        <v>1.49</v>
      </c>
      <c r="C8" s="8">
        <v>2.5770000000000001E-2</v>
      </c>
      <c r="D8" s="8">
        <v>1.9060000000000001E-2</v>
      </c>
      <c r="E8" s="8">
        <v>-5.1999999999999998E-2</v>
      </c>
      <c r="F8" s="8">
        <v>0.30509999999999998</v>
      </c>
      <c r="G8" s="8">
        <v>1</v>
      </c>
      <c r="H8" s="8"/>
      <c r="I8" s="13">
        <f>'Wing Info. (Ref)'!$H$7*('Wing Chract. (Ref)'!A8-$A$10)+$I$26</f>
        <v>1.4500256017505468</v>
      </c>
      <c r="J8" s="13">
        <f>'Wing Info. (Ref)'!$J$7*('Wing Chract. (Ref)'!A8-$A$10)+$J$26</f>
        <v>0.93484714068980823</v>
      </c>
      <c r="K8" s="8">
        <v>9.0517539751060971E-2</v>
      </c>
      <c r="M8" s="10">
        <f t="shared" si="0"/>
        <v>57.819169577027552</v>
      </c>
      <c r="N8" s="10">
        <f t="shared" si="2"/>
        <v>10.327801034592865</v>
      </c>
      <c r="O8" s="10">
        <f t="shared" si="1"/>
        <v>1.729530201342282E-2</v>
      </c>
      <c r="P8" s="10">
        <f t="shared" si="1"/>
        <v>9.6826032632746334E-2</v>
      </c>
      <c r="S8" s="13">
        <f t="shared" ref="S8:S20" si="4">0.1035*((A8-((57.3*J8)/(PI()*3.6)))-(-4.313))</f>
        <v>1.1981843306320947</v>
      </c>
      <c r="T8" s="13">
        <f>J8^2/(PI()*'Wing Info. (Ref)'!$F$11*'Wing Info. (Ref)'!$E$6)</f>
        <v>7.2742744074505677E-2</v>
      </c>
      <c r="U8" s="10">
        <v>1.6379999999999999E-2</v>
      </c>
      <c r="V8" s="13">
        <f t="shared" si="3"/>
        <v>8.9122744074505683E-2</v>
      </c>
    </row>
    <row r="9" spans="1:22">
      <c r="A9" s="8">
        <v>10</v>
      </c>
      <c r="B9" s="8">
        <v>1.4023000000000001</v>
      </c>
      <c r="C9" s="8">
        <v>2.0129999999999999E-2</v>
      </c>
      <c r="D9" s="8">
        <v>1.323E-2</v>
      </c>
      <c r="E9" s="8">
        <v>-6.8599999999999994E-2</v>
      </c>
      <c r="F9" s="8">
        <v>0.36990000000000001</v>
      </c>
      <c r="G9" s="8">
        <v>1</v>
      </c>
      <c r="H9" s="8"/>
      <c r="I9" s="10">
        <f>'Wing Info. (Ref)'!$H$7*('Wing Chract. (Ref)'!A9-$A$10)+$I$26</f>
        <v>1.362325601750547</v>
      </c>
      <c r="J9" s="13">
        <f>'Wing Info. (Ref)'!$J$7*('Wing Chract. (Ref)'!A9-$A$10)+$J$26</f>
        <v>0.86410886244727558</v>
      </c>
      <c r="K9" s="8">
        <v>7.8031480168396297E-2</v>
      </c>
      <c r="M9" s="10">
        <f t="shared" si="0"/>
        <v>69.662195727769515</v>
      </c>
      <c r="N9" s="10">
        <f t="shared" si="2"/>
        <v>11.073849433363053</v>
      </c>
      <c r="O9" s="10">
        <f t="shared" si="1"/>
        <v>1.4354988233616198E-2</v>
      </c>
      <c r="P9" s="10">
        <f t="shared" si="1"/>
        <v>9.030283516292191E-2</v>
      </c>
      <c r="S9" s="13">
        <f t="shared" si="4"/>
        <v>1.0282777682509519</v>
      </c>
      <c r="T9" s="13">
        <f>J9^2/(PI()*'Wing Info. (Ref)'!$F$11*'Wing Info. (Ref)'!$E$6)</f>
        <v>6.2150609283834438E-2</v>
      </c>
      <c r="U9" s="10">
        <v>1.46E-2</v>
      </c>
      <c r="V9" s="13">
        <f t="shared" si="3"/>
        <v>7.6750609283834439E-2</v>
      </c>
    </row>
    <row r="10" spans="1:22">
      <c r="A10" s="8">
        <v>8</v>
      </c>
      <c r="B10" s="8">
        <v>1.2779</v>
      </c>
      <c r="C10" s="8">
        <v>1.7479999999999999E-2</v>
      </c>
      <c r="D10" s="8">
        <v>1.0460000000000001E-2</v>
      </c>
      <c r="E10" s="8">
        <v>-8.4699999999999998E-2</v>
      </c>
      <c r="F10" s="8">
        <v>0.42509999999999998</v>
      </c>
      <c r="G10" s="8">
        <v>1</v>
      </c>
      <c r="H10" s="8"/>
      <c r="I10" s="10">
        <f>'Wing Info. (Ref)'!$H$6*('Wing Chract. (Ref)'!A10-'Wing Info. (Ref)'!$G$6)</f>
        <v>1.2746256017505471</v>
      </c>
      <c r="J10" s="10">
        <f>'Wing Info. (Ref)'!$J$6*('Wing Chract. (Ref)'!A10-'Wing Info. (Ref)'!$G$6)</f>
        <v>0.79337058420474305</v>
      </c>
      <c r="K10" s="8">
        <v>6.6899865626382768E-2</v>
      </c>
      <c r="M10" s="10">
        <f t="shared" si="0"/>
        <v>73.106407322654462</v>
      </c>
      <c r="N10" s="10">
        <f t="shared" si="2"/>
        <v>11.859075900622853</v>
      </c>
      <c r="O10" s="10">
        <f t="shared" si="1"/>
        <v>1.3678691603411848E-2</v>
      </c>
      <c r="P10" s="10">
        <f t="shared" si="1"/>
        <v>8.43236023093063E-2</v>
      </c>
      <c r="S10" s="13">
        <f t="shared" si="4"/>
        <v>0.85837120586980853</v>
      </c>
      <c r="T10" s="13">
        <f>J10^2/(PI()*'Wing Info. (Ref)'!$F$11*'Wing Info. (Ref)'!$E$6)</f>
        <v>5.2391479165537977E-2</v>
      </c>
      <c r="U10" s="10">
        <v>1.3339999999999999E-2</v>
      </c>
      <c r="V10" s="13">
        <f t="shared" si="3"/>
        <v>6.5731479165537982E-2</v>
      </c>
    </row>
    <row r="11" spans="1:22">
      <c r="A11" s="8">
        <v>6</v>
      </c>
      <c r="B11" s="8">
        <v>1.1107</v>
      </c>
      <c r="C11" s="8">
        <v>1.5559999999999999E-2</v>
      </c>
      <c r="D11" s="8">
        <v>8.4399999999999996E-3</v>
      </c>
      <c r="E11" s="8">
        <v>-9.4600000000000004E-2</v>
      </c>
      <c r="F11" s="8">
        <v>0.47460000000000002</v>
      </c>
      <c r="G11" s="8">
        <v>1</v>
      </c>
      <c r="H11" s="8"/>
      <c r="I11" s="10">
        <f>'Wing Info. (Ref)'!$H$6*('Wing Chract. (Ref)'!A11-'Wing Info. (Ref)'!$G$6)</f>
        <v>1.0675942013129103</v>
      </c>
      <c r="J11" s="10">
        <f>'Wing Info. (Ref)'!$J$6*('Wing Chract. (Ref)'!A11-'Wing Info. (Ref)'!$G$6)</f>
        <v>0.66450715725933063</v>
      </c>
      <c r="K11" s="8">
        <v>5.0173929532335536E-2</v>
      </c>
      <c r="M11" s="10">
        <f t="shared" si="0"/>
        <v>71.381748071979445</v>
      </c>
      <c r="N11" s="10">
        <f t="shared" si="2"/>
        <v>13.244072438677071</v>
      </c>
      <c r="O11" s="10">
        <f t="shared" si="1"/>
        <v>1.4009183397857205E-2</v>
      </c>
      <c r="P11" s="10">
        <f t="shared" si="1"/>
        <v>7.5505476478644848E-2</v>
      </c>
      <c r="S11" s="13">
        <f t="shared" si="4"/>
        <v>0.71894406186106063</v>
      </c>
      <c r="T11" s="13">
        <f>J11^2/(PI()*'Wing Info. (Ref)'!$F$11*'Wing Info. (Ref)'!$E$6)</f>
        <v>3.6754269698747517E-2</v>
      </c>
      <c r="U11" s="10">
        <v>1.26E-2</v>
      </c>
      <c r="V11" s="13">
        <f t="shared" si="3"/>
        <v>4.9354269698747517E-2</v>
      </c>
    </row>
    <row r="12" spans="1:22">
      <c r="A12" s="8">
        <v>4</v>
      </c>
      <c r="B12" s="8">
        <v>0.93089999999999995</v>
      </c>
      <c r="C12" s="8">
        <v>1.3809999999999999E-2</v>
      </c>
      <c r="D12" s="8">
        <v>6.9899999999999997E-3</v>
      </c>
      <c r="E12" s="8">
        <v>-0.1026</v>
      </c>
      <c r="F12" s="8">
        <v>0.52049999999999996</v>
      </c>
      <c r="G12" s="8">
        <v>1</v>
      </c>
      <c r="H12" s="8"/>
      <c r="I12" s="10">
        <f>'Wing Info. (Ref)'!$H$6*('Wing Chract. (Ref)'!A12-'Wing Info. (Ref)'!$G$6)</f>
        <v>0.86056280087527359</v>
      </c>
      <c r="J12" s="10">
        <f>'Wing Info. (Ref)'!$J$6*('Wing Chract. (Ref)'!A12-'Wing Info. (Ref)'!$G$6)</f>
        <v>0.53564373031391821</v>
      </c>
      <c r="K12" s="8">
        <v>3.651402260303914E-2</v>
      </c>
      <c r="M12" s="10">
        <f t="shared" si="0"/>
        <v>67.407675597393194</v>
      </c>
      <c r="N12" s="10">
        <f t="shared" si="2"/>
        <v>14.669534938320805</v>
      </c>
      <c r="O12" s="10">
        <f t="shared" si="1"/>
        <v>1.4835105811580191E-2</v>
      </c>
      <c r="P12" s="10">
        <f t="shared" si="1"/>
        <v>6.8168486881457213E-2</v>
      </c>
      <c r="S12" s="13">
        <f t="shared" si="4"/>
        <v>0.57951691785231285</v>
      </c>
      <c r="T12" s="13">
        <f>J12^2/(PI()*'Wing Info. (Ref)'!$F$11*'Wing Info. (Ref)'!$E$6)</f>
        <v>2.3881440731696672E-2</v>
      </c>
      <c r="U12" s="10">
        <v>1.21E-2</v>
      </c>
      <c r="V12" s="13">
        <f t="shared" si="3"/>
        <v>3.5981440731696672E-2</v>
      </c>
    </row>
    <row r="13" spans="1:22">
      <c r="A13" s="8">
        <v>2</v>
      </c>
      <c r="B13" s="8">
        <v>0.70569999999999999</v>
      </c>
      <c r="C13" s="8">
        <v>1.2579999999999999E-2</v>
      </c>
      <c r="D13" s="8">
        <v>6.1399999999999996E-3</v>
      </c>
      <c r="E13" s="8">
        <v>-0.10050000000000001</v>
      </c>
      <c r="F13" s="8">
        <v>0.57210000000000005</v>
      </c>
      <c r="G13" s="8">
        <v>0.9798</v>
      </c>
      <c r="H13" s="8"/>
      <c r="I13" s="10">
        <f>'Wing Info. (Ref)'!$H$6*('Wing Chract. (Ref)'!A13-'Wing Info. (Ref)'!$G$6)</f>
        <v>0.65353140043763669</v>
      </c>
      <c r="J13" s="10">
        <f>'Wing Info. (Ref)'!$J$6*('Wing Chract. (Ref)'!A13-'Wing Info. (Ref)'!$G$6)</f>
        <v>0.40678030336850574</v>
      </c>
      <c r="K13" s="8">
        <v>2.5080144838493596E-2</v>
      </c>
      <c r="M13" s="10">
        <f t="shared" si="0"/>
        <v>56.096979332273456</v>
      </c>
      <c r="N13" s="10">
        <f t="shared" si="2"/>
        <v>16.219216674704754</v>
      </c>
      <c r="O13" s="10">
        <f t="shared" si="1"/>
        <v>1.7826271786878276E-2</v>
      </c>
      <c r="P13" s="10">
        <f t="shared" si="1"/>
        <v>6.1655258700599576E-2</v>
      </c>
      <c r="S13" s="13">
        <f t="shared" si="4"/>
        <v>0.44008977384356501</v>
      </c>
      <c r="T13" s="13">
        <f>J13^2/(PI()*'Wing Info. (Ref)'!$F$11*'Wing Info. (Ref)'!$E$6)</f>
        <v>1.3772992264385454E-2</v>
      </c>
      <c r="U13" s="10">
        <v>1.0999999999999999E-2</v>
      </c>
      <c r="V13" s="13">
        <f t="shared" si="3"/>
        <v>2.4772992264385452E-2</v>
      </c>
    </row>
    <row r="14" spans="1:22">
      <c r="A14" s="8">
        <v>0</v>
      </c>
      <c r="B14" s="8">
        <v>0.44650000000000001</v>
      </c>
      <c r="C14" s="8">
        <v>1.159E-2</v>
      </c>
      <c r="D14" s="8">
        <v>5.1200000000000004E-3</v>
      </c>
      <c r="E14" s="8">
        <v>-9.6199999999999994E-2</v>
      </c>
      <c r="F14" s="8">
        <v>0.63539999999999996</v>
      </c>
      <c r="G14" s="8">
        <v>0.6915</v>
      </c>
      <c r="H14" s="8"/>
      <c r="I14" s="10">
        <f>'Wing Info. (Ref)'!$H$6*('Wing Chract. (Ref)'!A14-'Wing Info. (Ref)'!$G$6)</f>
        <v>0.44649999999999995</v>
      </c>
      <c r="J14" s="10">
        <f>'Wing Info. (Ref)'!$J$6*('Wing Chract. (Ref)'!A14-'Wing Info. (Ref)'!$G$6)</f>
        <v>0.27791687642309332</v>
      </c>
      <c r="K14" s="8">
        <v>1.8952296238698915E-2</v>
      </c>
      <c r="M14" s="10">
        <f t="shared" si="0"/>
        <v>38.524590163934427</v>
      </c>
      <c r="N14" s="10">
        <f t="shared" si="2"/>
        <v>14.664021336665876</v>
      </c>
      <c r="O14" s="10">
        <f t="shared" si="1"/>
        <v>2.5957446808510639E-2</v>
      </c>
      <c r="P14" s="10">
        <f t="shared" si="1"/>
        <v>6.819411790540722E-2</v>
      </c>
      <c r="S14" s="13">
        <f t="shared" si="4"/>
        <v>0.30066262983481717</v>
      </c>
      <c r="T14" s="13">
        <f>J14^2/(PI()*'Wing Info. (Ref)'!$F$11*'Wing Info. (Ref)'!$E$6)</f>
        <v>6.4289242968138599E-3</v>
      </c>
      <c r="U14" s="10">
        <v>1.238E-2</v>
      </c>
      <c r="V14" s="13">
        <f t="shared" si="3"/>
        <v>1.8808924296813859E-2</v>
      </c>
    </row>
    <row r="15" spans="1:22">
      <c r="A15" s="8">
        <v>-2</v>
      </c>
      <c r="B15" s="8">
        <v>0.2472</v>
      </c>
      <c r="C15" s="8">
        <v>1.278E-2</v>
      </c>
      <c r="D15" s="8">
        <v>5.2599999999999999E-3</v>
      </c>
      <c r="E15" s="8">
        <v>-0.1019</v>
      </c>
      <c r="F15" s="8">
        <v>0.71419999999999995</v>
      </c>
      <c r="G15" s="8">
        <v>0.3175</v>
      </c>
      <c r="H15" s="8"/>
      <c r="I15" s="10">
        <f>'Wing Info. (Ref)'!$H$6*('Wing Chract. (Ref)'!A15-'Wing Info. (Ref)'!$G$6)</f>
        <v>0.23946859956236324</v>
      </c>
      <c r="J15" s="10">
        <f>'Wing Info. (Ref)'!$J$6*('Wing Chract. (Ref)'!A15-'Wing Info. (Ref)'!$G$6)</f>
        <v>0.14905344947768093</v>
      </c>
      <c r="K15" s="8">
        <v>1.5230476803655085E-2</v>
      </c>
      <c r="M15" s="10">
        <f t="shared" si="0"/>
        <v>19.342723004694836</v>
      </c>
      <c r="N15" s="10">
        <f t="shared" si="2"/>
        <v>9.786525490909801</v>
      </c>
      <c r="O15" s="10">
        <f t="shared" si="1"/>
        <v>5.1699029126213589E-2</v>
      </c>
      <c r="P15" s="10">
        <f t="shared" si="1"/>
        <v>0.10218131050993005</v>
      </c>
      <c r="S15" s="13">
        <f t="shared" si="4"/>
        <v>0.16123548582606934</v>
      </c>
      <c r="T15" s="13">
        <f>J15^2/(PI()*'Wing Info. (Ref)'!$F$11*'Wing Info. (Ref)'!$E$6)</f>
        <v>1.8492368289818911E-3</v>
      </c>
      <c r="U15" s="10">
        <v>1.3339999999999999E-2</v>
      </c>
      <c r="V15" s="13">
        <f t="shared" si="3"/>
        <v>1.518923682898189E-2</v>
      </c>
    </row>
    <row r="16" spans="1:22">
      <c r="A16" s="8">
        <v>-4</v>
      </c>
      <c r="B16" s="8">
        <v>3.32E-2</v>
      </c>
      <c r="C16" s="8">
        <v>1.417E-2</v>
      </c>
      <c r="D16" s="8">
        <v>6.6499999999999997E-3</v>
      </c>
      <c r="E16" s="8">
        <v>-0.10489999999999999</v>
      </c>
      <c r="F16" s="8">
        <v>0.79579999999999995</v>
      </c>
      <c r="G16" s="8">
        <v>0.1956</v>
      </c>
      <c r="H16" s="8"/>
      <c r="I16" s="10">
        <f>'Wing Info. (Ref)'!$H$6*('Wing Chract. (Ref)'!A16-'Wing Info. (Ref)'!$G$6)</f>
        <v>3.2437199124726507E-2</v>
      </c>
      <c r="J16" s="10">
        <f>'Wing Info. (Ref)'!$J$6*('Wing Chract. (Ref)'!A16-'Wing Info. (Ref)'!$G$6)</f>
        <v>2.0190022532268505E-2</v>
      </c>
      <c r="K16" s="8">
        <v>1.434468653336211E-2</v>
      </c>
      <c r="M16" s="10">
        <f t="shared" si="0"/>
        <v>2.3429781227946367</v>
      </c>
      <c r="N16" s="10">
        <f t="shared" si="2"/>
        <v>1.4074913721754478</v>
      </c>
      <c r="O16" s="10">
        <f t="shared" si="1"/>
        <v>0.42680722891566264</v>
      </c>
      <c r="P16" s="10">
        <f t="shared" si="1"/>
        <v>0.71048392890279621</v>
      </c>
      <c r="S16" s="13">
        <f t="shared" si="4"/>
        <v>2.1808341817321459E-2</v>
      </c>
      <c r="T16" s="13">
        <f>J16^2/(PI()*'Wing Info. (Ref)'!$F$11*'Wing Info. (Ref)'!$E$6)</f>
        <v>3.3929860889542799E-5</v>
      </c>
      <c r="U16" s="10">
        <v>1.431E-2</v>
      </c>
      <c r="V16" s="13">
        <f t="shared" si="3"/>
        <v>1.4343929860889542E-2</v>
      </c>
    </row>
    <row r="17" spans="1:22">
      <c r="A17" s="8">
        <v>-6</v>
      </c>
      <c r="B17" s="8">
        <v>-0.1787</v>
      </c>
      <c r="C17" s="8">
        <v>1.6750000000000001E-2</v>
      </c>
      <c r="D17" s="8">
        <v>9.1999999999999998E-3</v>
      </c>
      <c r="E17" s="8">
        <v>-0.1081</v>
      </c>
      <c r="F17" s="8">
        <v>0.86550000000000005</v>
      </c>
      <c r="G17" s="8">
        <v>0.1305</v>
      </c>
      <c r="H17" s="8"/>
      <c r="I17" s="10">
        <f>'Wing Info. (Ref)'!$H$6*('Wing Chract. (Ref)'!A17-'Wing Info. (Ref)'!$G$6)</f>
        <v>-0.17459420131291023</v>
      </c>
      <c r="J17" s="10">
        <f>'Wing Info. (Ref)'!$J$6*('Wing Chract. (Ref)'!A17-'Wing Info. (Ref)'!$G$6)</f>
        <v>-0.10867340441314391</v>
      </c>
      <c r="K17" s="8">
        <v>1.7004925427819992E-2</v>
      </c>
      <c r="M17" s="10">
        <f t="shared" si="0"/>
        <v>-10.66865671641791</v>
      </c>
      <c r="N17" s="10">
        <f t="shared" si="2"/>
        <v>-6.3907016160949839</v>
      </c>
      <c r="O17" s="10">
        <f t="shared" si="1"/>
        <v>-9.3732512590934527E-2</v>
      </c>
      <c r="P17" s="10">
        <f t="shared" si="1"/>
        <v>-0.15647734162419658</v>
      </c>
      <c r="S17" s="13">
        <f t="shared" si="4"/>
        <v>-0.11761880219142637</v>
      </c>
      <c r="T17" s="13">
        <f>J17^2/(PI()*'Wing Info. (Ref)'!$F$11*'Wing Info. (Ref)'!$E$6)</f>
        <v>9.8300339253681716E-4</v>
      </c>
      <c r="U17" s="10">
        <v>1.6E-2</v>
      </c>
      <c r="V17" s="13">
        <f t="shared" si="3"/>
        <v>1.6983003392536819E-2</v>
      </c>
    </row>
    <row r="18" spans="1:22">
      <c r="A18" s="8">
        <v>-8</v>
      </c>
      <c r="B18" s="8">
        <v>-0.40960000000000002</v>
      </c>
      <c r="C18" s="8">
        <v>2.0979999999999999E-2</v>
      </c>
      <c r="D18" s="8">
        <v>1.3679999999999999E-2</v>
      </c>
      <c r="E18" s="8">
        <v>-0.10730000000000001</v>
      </c>
      <c r="F18" s="8">
        <v>0.91269999999999996</v>
      </c>
      <c r="G18" s="8">
        <v>9.4100000000000003E-2</v>
      </c>
      <c r="H18" s="8"/>
      <c r="I18" s="10">
        <f>'Wing Info. (Ref)'!$H$6*('Wing Chract. (Ref)'!A18-'Wing Info. (Ref)'!$G$6)</f>
        <v>-0.38162560175054699</v>
      </c>
      <c r="J18" s="10">
        <f>'Wing Info. (Ref)'!$J$6*('Wing Chract. (Ref)'!A18-'Wing Info. (Ref)'!$G$6)</f>
        <v>-0.23753683135855633</v>
      </c>
      <c r="K18" s="10">
        <v>2.2901193487028723E-2</v>
      </c>
      <c r="M18" s="10">
        <f t="shared" si="0"/>
        <v>-19.523355576739753</v>
      </c>
      <c r="N18" s="10">
        <f t="shared" si="2"/>
        <v>-10.372246821681918</v>
      </c>
      <c r="O18" s="10">
        <f t="shared" si="1"/>
        <v>-5.1220703124999996E-2</v>
      </c>
      <c r="P18" s="10">
        <f t="shared" si="1"/>
        <v>-9.6411126460047389E-2</v>
      </c>
      <c r="S18" s="13">
        <f t="shared" si="4"/>
        <v>-0.25704594620017418</v>
      </c>
      <c r="T18" s="13">
        <f>J18^2/(PI()*'Wing Info. (Ref)'!$F$11*'Wing Info. (Ref)'!$E$6)</f>
        <v>4.6964574239237141E-3</v>
      </c>
      <c r="U18" s="10">
        <v>1.8100000000000002E-2</v>
      </c>
      <c r="V18" s="13">
        <f t="shared" si="3"/>
        <v>2.2796457423923715E-2</v>
      </c>
    </row>
    <row r="19" spans="1:22">
      <c r="A19" s="8">
        <v>-10</v>
      </c>
      <c r="B19" s="8">
        <v>-0.67130000000000001</v>
      </c>
      <c r="C19" s="8">
        <v>2.7470000000000001E-2</v>
      </c>
      <c r="D19" s="8">
        <v>2.0590000000000001E-2</v>
      </c>
      <c r="E19" s="8">
        <v>-9.7299999999999998E-2</v>
      </c>
      <c r="F19" s="8">
        <v>0.94620000000000004</v>
      </c>
      <c r="G19" s="8">
        <v>7.2599999999999998E-2</v>
      </c>
      <c r="H19" s="8"/>
      <c r="I19" s="10">
        <f>'Wing Info. (Ref)'!$H$6*('Wing Chract. (Ref)'!A19-'Wing Info. (Ref)'!$G$6)</f>
        <v>-0.58865700218818373</v>
      </c>
      <c r="J19" s="10">
        <f>'Wing Info. (Ref)'!$J$6*('Wing Chract. (Ref)'!A19-'Wing Info. (Ref)'!$G$6)</f>
        <v>-0.36640025830396877</v>
      </c>
      <c r="K19" s="10">
        <v>3.2623490710988308E-2</v>
      </c>
      <c r="M19" s="10">
        <f t="shared" si="0"/>
        <v>-24.437568256279576</v>
      </c>
      <c r="N19" s="10">
        <f t="shared" si="2"/>
        <v>-11.23117883214616</v>
      </c>
      <c r="O19" s="10">
        <f t="shared" si="1"/>
        <v>-4.0920601817369284E-2</v>
      </c>
      <c r="P19" s="10">
        <f t="shared" si="1"/>
        <v>-8.9037848559384972E-2</v>
      </c>
      <c r="S19" s="13">
        <f t="shared" si="4"/>
        <v>-0.39647309020892202</v>
      </c>
      <c r="T19" s="13">
        <f>J19^2/(PI()*'Wing Info. (Ref)'!$F$11*'Wing Info. (Ref)'!$E$6)</f>
        <v>1.1174291955050234E-2</v>
      </c>
      <c r="U19" s="10">
        <v>2.12E-2</v>
      </c>
      <c r="V19" s="13">
        <f t="shared" si="3"/>
        <v>3.2374291955050233E-2</v>
      </c>
    </row>
    <row r="20" spans="1:22">
      <c r="A20" s="8">
        <v>-12</v>
      </c>
      <c r="B20" s="8">
        <v>-0.88470000000000004</v>
      </c>
      <c r="C20" s="8">
        <v>3.7560000000000003E-2</v>
      </c>
      <c r="D20" s="8">
        <v>3.1719999999999998E-2</v>
      </c>
      <c r="E20" s="8">
        <v>-8.8499999999999995E-2</v>
      </c>
      <c r="F20" s="8">
        <v>0.98209999999999997</v>
      </c>
      <c r="G20" s="8">
        <v>6.0100000000000001E-2</v>
      </c>
      <c r="H20" s="8"/>
      <c r="I20" s="10">
        <f>'Wing Info. (Ref)'!$H$6*('Wing Chract. (Ref)'!A20-'Wing Info. (Ref)'!$G$6)</f>
        <v>-0.79568840262582041</v>
      </c>
      <c r="J20" s="10">
        <f>'Wing Info. (Ref)'!$J$6*('Wing Chract. (Ref)'!A20-'Wing Info. (Ref)'!$G$6)</f>
        <v>-0.49526368524938119</v>
      </c>
      <c r="K20" s="10">
        <v>4.1671817099698749E-2</v>
      </c>
      <c r="M20" s="10">
        <f t="shared" si="0"/>
        <v>-23.554313099041533</v>
      </c>
      <c r="N20" s="10">
        <f t="shared" si="2"/>
        <v>-11.884859353852402</v>
      </c>
      <c r="O20" s="10">
        <f t="shared" si="1"/>
        <v>-4.2455069515089865E-2</v>
      </c>
      <c r="P20" s="10">
        <f t="shared" si="1"/>
        <v>-8.4140667569267982E-2</v>
      </c>
      <c r="S20" s="13">
        <f t="shared" si="4"/>
        <v>-0.53590023421766986</v>
      </c>
      <c r="T20" s="13">
        <f>J20^2/(PI()*'Wing Info. (Ref)'!$F$11*'Wing Info. (Ref)'!$E$6)</f>
        <v>2.0416506985916377E-2</v>
      </c>
      <c r="U20" s="10">
        <v>2.0799999999999999E-2</v>
      </c>
      <c r="V20" s="13">
        <f t="shared" si="3"/>
        <v>4.1216506985916376E-2</v>
      </c>
    </row>
    <row r="21" spans="1:22">
      <c r="A21" s="8">
        <v>-14</v>
      </c>
      <c r="B21" s="8">
        <v>-0.81420000000000003</v>
      </c>
      <c r="C21" s="8">
        <v>5.4539999999999998E-2</v>
      </c>
      <c r="D21" s="8">
        <v>4.9750000000000003E-2</v>
      </c>
      <c r="E21" s="8">
        <v>-9.8699999999999996E-2</v>
      </c>
      <c r="F21" s="8">
        <v>1</v>
      </c>
      <c r="G21" s="8">
        <v>5.6000000000000001E-2</v>
      </c>
      <c r="H21" s="8"/>
      <c r="M21" s="10">
        <f t="shared" si="0"/>
        <v>-14.928492849284929</v>
      </c>
      <c r="O21" s="10">
        <f t="shared" si="1"/>
        <v>-6.6985998526160648E-2</v>
      </c>
    </row>
    <row r="22" spans="1:22">
      <c r="A22" s="8">
        <v>-16</v>
      </c>
      <c r="B22" s="8">
        <v>-0.22539999999999999</v>
      </c>
      <c r="C22" s="8">
        <v>0.16083</v>
      </c>
      <c r="D22" s="8">
        <v>0.15756000000000001</v>
      </c>
      <c r="E22" s="8">
        <v>-4.1399999999999999E-2</v>
      </c>
      <c r="F22" s="8">
        <v>1</v>
      </c>
      <c r="G22" s="8">
        <v>6.3299999999999995E-2</v>
      </c>
      <c r="H22" s="8"/>
      <c r="M22" s="10">
        <f t="shared" si="0"/>
        <v>-1.4014798234160293</v>
      </c>
      <c r="O22" s="10">
        <f t="shared" si="1"/>
        <v>-0.71353149955634432</v>
      </c>
    </row>
    <row r="23" spans="1:22">
      <c r="A23" s="8">
        <v>-18</v>
      </c>
      <c r="B23" s="8">
        <v>-0.22040000000000001</v>
      </c>
      <c r="C23" s="8">
        <v>0.17191000000000001</v>
      </c>
      <c r="D23" s="8">
        <v>0.16853000000000001</v>
      </c>
      <c r="E23" s="8">
        <v>-4.2200000000000001E-2</v>
      </c>
      <c r="F23" s="8">
        <v>1</v>
      </c>
      <c r="G23" s="8">
        <v>5.5199999999999999E-2</v>
      </c>
      <c r="H23" s="8"/>
      <c r="M23" s="10">
        <f t="shared" si="0"/>
        <v>-1.2820661974288872</v>
      </c>
      <c r="O23" s="10">
        <f t="shared" si="1"/>
        <v>-0.77999092558983674</v>
      </c>
    </row>
    <row r="24" spans="1:22">
      <c r="A24" s="8"/>
      <c r="B24" s="8"/>
      <c r="C24" s="8"/>
      <c r="D24" s="8"/>
      <c r="E24" s="8"/>
      <c r="F24" s="8"/>
      <c r="G24" s="8"/>
      <c r="H24" s="8"/>
    </row>
    <row r="25" spans="1:22">
      <c r="I25" s="11" t="s">
        <v>69</v>
      </c>
      <c r="J25" s="11" t="s">
        <v>70</v>
      </c>
    </row>
    <row r="26" spans="1:22">
      <c r="I26" s="11">
        <f>I10</f>
        <v>1.2746256017505471</v>
      </c>
      <c r="J26" s="11">
        <f>J10</f>
        <v>0.79337058420474305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9"/>
  <sheetViews>
    <sheetView topLeftCell="J1" workbookViewId="0">
      <selection activeCell="T19" sqref="T19"/>
    </sheetView>
  </sheetViews>
  <sheetFormatPr defaultRowHeight="15"/>
  <cols>
    <col min="1" max="1" width="16.85546875" style="12" bestFit="1" customWidth="1"/>
    <col min="2" max="2" width="11" style="12" bestFit="1" customWidth="1"/>
    <col min="3" max="3" width="11" style="12" customWidth="1"/>
    <col min="4" max="4" width="21.85546875" style="12" bestFit="1" customWidth="1"/>
    <col min="5" max="5" width="10" style="12" customWidth="1"/>
    <col min="6" max="6" width="12" style="12" bestFit="1" customWidth="1"/>
    <col min="7" max="7" width="12.140625" style="12" bestFit="1" customWidth="1"/>
    <col min="8" max="9" width="11.42578125" style="12" customWidth="1"/>
    <col min="10" max="10" width="11.85546875" style="12" bestFit="1" customWidth="1"/>
    <col min="11" max="11" width="11.140625" style="12" bestFit="1" customWidth="1"/>
    <col min="12" max="12" width="24.28515625" style="12" bestFit="1" customWidth="1"/>
    <col min="13" max="13" width="11.85546875" style="12" bestFit="1" customWidth="1"/>
    <col min="14" max="14" width="11.140625" style="12" bestFit="1" customWidth="1"/>
    <col min="15" max="15" width="5.28515625" style="12" customWidth="1"/>
    <col min="16" max="16" width="6.28515625" style="12" customWidth="1"/>
    <col min="17" max="19" width="9.140625" style="12"/>
    <col min="20" max="21" width="12" style="12" bestFit="1" customWidth="1"/>
    <col min="22" max="23" width="9.140625" style="12"/>
    <col min="24" max="24" width="9.28515625" style="12" bestFit="1" customWidth="1"/>
    <col min="25" max="25" width="9.5703125" style="12" bestFit="1" customWidth="1"/>
    <col min="26" max="16384" width="9.140625" style="12"/>
  </cols>
  <sheetData>
    <row r="1" spans="1:27" ht="17.25">
      <c r="A1" s="17" t="s">
        <v>26</v>
      </c>
      <c r="B1" s="17" t="s">
        <v>59</v>
      </c>
      <c r="C1" s="13"/>
      <c r="D1" s="17" t="s">
        <v>31</v>
      </c>
      <c r="E1" s="17">
        <v>7.5</v>
      </c>
      <c r="F1" s="13"/>
      <c r="G1" s="17"/>
      <c r="H1" s="17" t="s">
        <v>35</v>
      </c>
      <c r="I1" s="17" t="s">
        <v>36</v>
      </c>
      <c r="K1" s="16" t="s">
        <v>20</v>
      </c>
      <c r="L1" s="16" t="s">
        <v>50</v>
      </c>
      <c r="M1" s="16" t="s">
        <v>51</v>
      </c>
      <c r="P1" s="8"/>
      <c r="Q1" s="13"/>
      <c r="R1" s="13"/>
      <c r="S1" s="13"/>
      <c r="T1" s="13"/>
      <c r="U1" s="13"/>
      <c r="V1" s="13" t="s">
        <v>42</v>
      </c>
      <c r="W1" s="13"/>
      <c r="X1" s="13"/>
      <c r="Y1" s="13"/>
      <c r="Z1" s="13"/>
      <c r="AA1" s="13"/>
    </row>
    <row r="2" spans="1:27" ht="18">
      <c r="A2" s="17" t="s">
        <v>21</v>
      </c>
      <c r="B2" s="17">
        <v>250000</v>
      </c>
      <c r="C2" s="13"/>
      <c r="D2" s="17" t="s">
        <v>55</v>
      </c>
      <c r="E2" s="17">
        <v>40</v>
      </c>
      <c r="F2" s="13"/>
      <c r="G2" s="17" t="s">
        <v>32</v>
      </c>
      <c r="H2" s="17">
        <v>440.74</v>
      </c>
      <c r="I2" s="17">
        <f>H2/144</f>
        <v>3.0606944444444446</v>
      </c>
      <c r="J2" s="13"/>
      <c r="K2" s="17">
        <f>C7/B7</f>
        <v>0.25</v>
      </c>
      <c r="L2" s="17">
        <f>(2/3)*B7*(1+K2+K2^2)/(1+K2)</f>
        <v>16.8</v>
      </c>
      <c r="M2" s="17">
        <f>(12*E3/6)*((1+2*K2)/(1+K2))</f>
        <v>10.799999999999999</v>
      </c>
      <c r="N2" s="13"/>
      <c r="O2" s="13"/>
      <c r="P2" s="8" t="s">
        <v>8</v>
      </c>
      <c r="Q2" s="13" t="s">
        <v>37</v>
      </c>
      <c r="R2" s="8" t="s">
        <v>9</v>
      </c>
      <c r="S2" s="8" t="s">
        <v>38</v>
      </c>
      <c r="T2" s="8" t="s">
        <v>39</v>
      </c>
      <c r="U2" s="8" t="s">
        <v>12</v>
      </c>
      <c r="V2" s="8" t="s">
        <v>13</v>
      </c>
      <c r="W2" s="13"/>
      <c r="X2" s="13"/>
      <c r="Y2" s="13"/>
      <c r="Z2" s="13"/>
      <c r="AA2" s="13"/>
    </row>
    <row r="3" spans="1:27">
      <c r="A3" s="17" t="s">
        <v>17</v>
      </c>
      <c r="B3" s="17">
        <v>0.18</v>
      </c>
      <c r="C3" s="13"/>
      <c r="D3" s="17" t="s">
        <v>33</v>
      </c>
      <c r="E3" s="17">
        <v>4.5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8" t="s">
        <v>14</v>
      </c>
      <c r="Q3" s="8" t="s">
        <v>15</v>
      </c>
      <c r="R3" s="8" t="s">
        <v>15</v>
      </c>
      <c r="S3" s="8" t="s">
        <v>15</v>
      </c>
      <c r="T3" s="8" t="s">
        <v>15</v>
      </c>
      <c r="U3" s="8" t="s">
        <v>15</v>
      </c>
      <c r="V3" s="8" t="s">
        <v>15</v>
      </c>
      <c r="W3" s="13"/>
      <c r="X3" s="13"/>
      <c r="Y3" s="13"/>
      <c r="Z3" s="13"/>
      <c r="AA3" s="13"/>
    </row>
    <row r="4" spans="1:27" ht="18.75">
      <c r="A4" s="7" t="s">
        <v>34</v>
      </c>
      <c r="B4" s="30">
        <v>2.2878199999999999E-3</v>
      </c>
      <c r="C4" s="13"/>
      <c r="D4" s="13"/>
      <c r="E4" s="13"/>
      <c r="F4" s="13"/>
      <c r="G4" s="16" t="s">
        <v>60</v>
      </c>
      <c r="H4" s="42" t="s">
        <v>65</v>
      </c>
      <c r="I4" s="42"/>
      <c r="J4" s="42" t="s">
        <v>67</v>
      </c>
      <c r="K4" s="42"/>
      <c r="M4" s="43" t="s">
        <v>77</v>
      </c>
      <c r="N4" s="43"/>
      <c r="O4" s="13"/>
      <c r="P4" s="8">
        <v>20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>
      <c r="A5" s="13"/>
      <c r="B5" s="13"/>
      <c r="C5" s="13"/>
      <c r="D5" s="13"/>
      <c r="E5" s="17" t="s">
        <v>7</v>
      </c>
      <c r="F5" s="13"/>
      <c r="G5" s="16" t="s">
        <v>52</v>
      </c>
      <c r="H5" s="16" t="s">
        <v>53</v>
      </c>
      <c r="I5" s="16" t="s">
        <v>54</v>
      </c>
      <c r="J5" s="16" t="s">
        <v>53</v>
      </c>
      <c r="K5" s="16" t="s">
        <v>54</v>
      </c>
      <c r="M5" s="16" t="s">
        <v>53</v>
      </c>
      <c r="N5" s="16" t="s">
        <v>54</v>
      </c>
      <c r="O5" s="13"/>
      <c r="P5" s="8">
        <v>18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>
      <c r="A6" s="17"/>
      <c r="B6" s="17" t="s">
        <v>27</v>
      </c>
      <c r="C6" s="17" t="s">
        <v>28</v>
      </c>
      <c r="D6" s="13"/>
      <c r="E6" s="17">
        <f>4.61*(1-0.045*F11^(0.68))*(COS(C12))^0.15-3.1</f>
        <v>0.75291481958486406</v>
      </c>
      <c r="F6" s="13"/>
      <c r="G6" s="16">
        <f>('Wing Chract. (Ref)'!A16)-(('Wing Chract. (Ref)'!B16)/(('Wing Chract. (Ref)'!B16-'Wing Chract. (Ref)'!B17)/('Wing Chract. (Ref)'!A16-'Wing Chract. (Ref)'!A17)))</f>
        <v>-4.3133553563001419</v>
      </c>
      <c r="H6" s="16">
        <f>('Wing Chract. (Ref)'!B14-0)/(0-'Wing Info. (Ref)'!G6)</f>
        <v>0.10351570021881837</v>
      </c>
      <c r="I6" s="16">
        <f>H6*180/PI()</f>
        <v>5.9310127358797455</v>
      </c>
      <c r="J6" s="16">
        <f>K6*PI()/180</f>
        <v>7.7918523124741471E-2</v>
      </c>
      <c r="K6" s="16">
        <f>I6*COS(C11)/(SQRT(1+(I6*COS(C11)/(PI()*F11))^2)+(I6*COS(C11)/(PI()*F11)))</f>
        <v>4.4644025209401939</v>
      </c>
      <c r="M6" s="16">
        <f>('Wing Chract. (Ref)'!E12-'Wing Chract. (Ref)'!E17)/('Wing Chract. (Ref)'!A12-'Wing Chract. (Ref)'!A17)</f>
        <v>5.5000000000000047E-4</v>
      </c>
      <c r="N6" s="16">
        <f>M6*180/PI()</f>
        <v>3.1512678732195307E-2</v>
      </c>
      <c r="P6" s="8">
        <v>16</v>
      </c>
      <c r="Q6" s="13"/>
      <c r="R6" s="13"/>
      <c r="S6" s="8"/>
      <c r="T6" s="13"/>
      <c r="U6" s="13"/>
      <c r="V6" s="13"/>
      <c r="W6" s="13"/>
      <c r="X6" s="13" t="s">
        <v>62</v>
      </c>
      <c r="Y6" s="13" t="s">
        <v>63</v>
      </c>
      <c r="Z6" s="13" t="s">
        <v>64</v>
      </c>
      <c r="AA6" s="13"/>
    </row>
    <row r="7" spans="1:27">
      <c r="A7" s="17" t="s">
        <v>29</v>
      </c>
      <c r="B7" s="17">
        <v>24</v>
      </c>
      <c r="C7" s="17">
        <v>6</v>
      </c>
      <c r="D7" s="13"/>
      <c r="H7" s="16">
        <f>('Wing Chract. (Ref)'!B8-'Wing Chract. (Ref)'!B9)/('Wing Chract. (Ref)'!A8-'Wing Chract. (Ref)'!A9)</f>
        <v>4.3849999999999945E-2</v>
      </c>
      <c r="I7" s="16">
        <f>H7*180/PI()</f>
        <v>2.5124199316486568</v>
      </c>
      <c r="J7" s="16">
        <f>K7*PI()/180</f>
        <v>3.8753564813672474E-2</v>
      </c>
      <c r="K7" s="16">
        <f>I7*COS(C11)/(SQRT(1+(I7*COS(C11)/(PI()*F11))^2)+(I7*COS(C11)/(PI()*F11)))</f>
        <v>2.2204157049101236</v>
      </c>
      <c r="L7" s="13"/>
      <c r="M7" s="13"/>
      <c r="N7" s="13"/>
      <c r="O7" s="13"/>
      <c r="P7" s="8">
        <v>14</v>
      </c>
      <c r="Q7" s="13">
        <f>$H$7*(P7-$P$10)+$Q$27</f>
        <v>1.5377256017505467</v>
      </c>
      <c r="R7" s="13">
        <f>$J$7*(P7-$P$10)+$R$27</f>
        <v>1.1919598529550668</v>
      </c>
      <c r="S7" s="8"/>
      <c r="T7" s="13"/>
      <c r="U7" s="13" t="e">
        <f t="shared" ref="U7:U20" si="0">R7/S7</f>
        <v>#DIV/0!</v>
      </c>
      <c r="V7" s="13" t="e">
        <f t="shared" ref="V7:V20" si="1">1/U7</f>
        <v>#DIV/0!</v>
      </c>
      <c r="W7" s="13"/>
      <c r="X7" s="13">
        <f>0.1035*((P7-((57.3*R7)/(PI()*3.6)))-(-4.313))</f>
        <v>1.2703606596243364</v>
      </c>
      <c r="Y7" s="13">
        <f>R7^2/(PI()*$E$6*$F$11)</f>
        <v>9.0786753349782118E-2</v>
      </c>
      <c r="Z7" s="13"/>
      <c r="AA7" s="13">
        <f t="shared" ref="AA7:AA20" si="2">Y7+Z7</f>
        <v>9.0786753349782118E-2</v>
      </c>
    </row>
    <row r="8" spans="1:27">
      <c r="A8" s="17" t="s">
        <v>30</v>
      </c>
      <c r="B8" s="17">
        <f>B7*B3</f>
        <v>4.32</v>
      </c>
      <c r="C8" s="17">
        <f>C7*B3</f>
        <v>1.08</v>
      </c>
      <c r="D8" s="13"/>
      <c r="H8" s="42" t="s">
        <v>66</v>
      </c>
      <c r="I8" s="42"/>
      <c r="J8" s="44" t="s">
        <v>68</v>
      </c>
      <c r="K8" s="45"/>
      <c r="L8" s="13"/>
      <c r="M8" s="13"/>
      <c r="N8" s="13"/>
      <c r="O8" s="13"/>
      <c r="P8" s="8">
        <v>12</v>
      </c>
      <c r="Q8" s="13">
        <f t="shared" ref="Q8" si="3">$H$7*(P8-$P$10)+$Q$27</f>
        <v>1.4500256017505468</v>
      </c>
      <c r="R8" s="13">
        <f t="shared" ref="R8:R9" si="4">$J$7*(P8-$P$10)+$R$27</f>
        <v>1.1144527233277217</v>
      </c>
      <c r="S8" s="8"/>
      <c r="T8" s="13"/>
      <c r="U8" s="13" t="e">
        <f t="shared" si="0"/>
        <v>#DIV/0!</v>
      </c>
      <c r="V8" s="13" t="e">
        <f t="shared" si="1"/>
        <v>#DIV/0!</v>
      </c>
      <c r="W8" s="13"/>
      <c r="X8" s="13">
        <f t="shared" ref="X8:X20" si="5">0.1035*((P8-((57.3*R8)/(PI()*3.6)))-(-4.313))</f>
        <v>1.1040035187562955</v>
      </c>
      <c r="Y8" s="13">
        <f t="shared" ref="Y8:Y20" si="6">R8^2/(PI()*$E$6*$F$11)</f>
        <v>7.9363813741916769E-2</v>
      </c>
      <c r="Z8" s="13"/>
      <c r="AA8" s="13">
        <f t="shared" si="2"/>
        <v>7.9363813741916769E-2</v>
      </c>
    </row>
    <row r="9" spans="1:27">
      <c r="A9" s="13"/>
      <c r="B9" s="13"/>
      <c r="C9" s="13"/>
      <c r="D9" s="13"/>
      <c r="L9" s="13"/>
      <c r="N9" s="6"/>
      <c r="O9" s="6"/>
      <c r="P9" s="8">
        <v>10</v>
      </c>
      <c r="Q9" s="13">
        <f>$H$7*(P9-$P$10)+$Q$27</f>
        <v>1.362325601750547</v>
      </c>
      <c r="R9" s="13">
        <f t="shared" si="4"/>
        <v>1.0369455937003769</v>
      </c>
      <c r="S9" s="8"/>
      <c r="T9" s="13"/>
      <c r="U9" s="13" t="e">
        <f t="shared" si="0"/>
        <v>#DIV/0!</v>
      </c>
      <c r="V9" s="13" t="e">
        <f t="shared" si="1"/>
        <v>#DIV/0!</v>
      </c>
      <c r="W9" s="13"/>
      <c r="X9" s="13">
        <f t="shared" si="5"/>
        <v>0.93764637788825467</v>
      </c>
      <c r="Y9" s="13">
        <f t="shared" si="6"/>
        <v>6.8708611242335058E-2</v>
      </c>
      <c r="Z9" s="13"/>
      <c r="AA9" s="13">
        <f t="shared" si="2"/>
        <v>6.8708611242335058E-2</v>
      </c>
    </row>
    <row r="10" spans="1:27" ht="18">
      <c r="A10" s="16"/>
      <c r="B10" s="17" t="s">
        <v>52</v>
      </c>
      <c r="C10" s="17" t="s">
        <v>61</v>
      </c>
      <c r="D10" s="13"/>
      <c r="E10" s="17"/>
      <c r="F10" s="17" t="s">
        <v>19</v>
      </c>
      <c r="G10" s="17" t="s">
        <v>18</v>
      </c>
      <c r="H10" s="17" t="s">
        <v>46</v>
      </c>
      <c r="I10" s="17" t="s">
        <v>47</v>
      </c>
      <c r="J10" s="17" t="s">
        <v>48</v>
      </c>
      <c r="K10" s="17" t="s">
        <v>49</v>
      </c>
      <c r="L10" s="17" t="s">
        <v>56</v>
      </c>
      <c r="O10" s="13"/>
      <c r="P10" s="8">
        <v>8</v>
      </c>
      <c r="Q10" s="13">
        <f>$H$6*(P10-$G$6)</f>
        <v>1.2746256017505471</v>
      </c>
      <c r="R10" s="13">
        <f>$J$6*(P10-$G$6)</f>
        <v>0.9594384640730319</v>
      </c>
      <c r="S10" s="8"/>
      <c r="T10" s="13"/>
      <c r="U10" s="13" t="e">
        <f t="shared" si="0"/>
        <v>#DIV/0!</v>
      </c>
      <c r="V10" s="13" t="e">
        <f t="shared" si="1"/>
        <v>#DIV/0!</v>
      </c>
      <c r="W10" s="13"/>
      <c r="X10" s="13">
        <f t="shared" si="5"/>
        <v>0.77128923702021379</v>
      </c>
      <c r="Y10" s="13">
        <f t="shared" si="6"/>
        <v>5.8821145851036954E-2</v>
      </c>
      <c r="Z10" s="13"/>
      <c r="AA10" s="13">
        <f t="shared" si="2"/>
        <v>5.8821145851036954E-2</v>
      </c>
    </row>
    <row r="11" spans="1:27">
      <c r="A11" s="17" t="s">
        <v>71</v>
      </c>
      <c r="B11" s="17">
        <v>4.7035</v>
      </c>
      <c r="C11" s="17">
        <f>B11*PI()/180</f>
        <v>8.2091561367553287E-2</v>
      </c>
      <c r="D11" s="13"/>
      <c r="E11" s="17" t="s">
        <v>44</v>
      </c>
      <c r="F11" s="46">
        <f>E3^2/I2</f>
        <v>6.6161455733539043</v>
      </c>
      <c r="G11" s="17">
        <f>((-M6/H6)+0.25)*100</f>
        <v>24.468679631362804</v>
      </c>
      <c r="H11" s="17">
        <f>SQRT((2*$E$1)/($B$4*$I$2*'Wing Chract. (Ref)'!B9))</f>
        <v>39.084471946643021</v>
      </c>
      <c r="I11" s="17">
        <f>SQRT((2*$E$1)/($B$4*$I$2*'Wing Chract. (Ref)'!$B$14))</f>
        <v>69.265023224229623</v>
      </c>
      <c r="J11" s="17">
        <f>0.5*'Wing Chract. (Ref)'!B9*$I$2*$B$4*$H$11^2</f>
        <v>7.5</v>
      </c>
      <c r="K11" s="17">
        <f>0.5*'Wing Chract. (Ref)'!$B$14*$I$2*$B$4*$I$11^2</f>
        <v>7.4999999999999982</v>
      </c>
      <c r="L11" s="17">
        <f>0.5*'Wing Chract. (Ref)'!$B$14*$I$2*$B$4*$E$2^2</f>
        <v>2.5012279767011107</v>
      </c>
      <c r="M11" s="13"/>
      <c r="N11" s="13"/>
      <c r="O11" s="13"/>
      <c r="P11" s="8">
        <v>6</v>
      </c>
      <c r="Q11" s="13">
        <f t="shared" ref="Q11:Q20" si="7">$H$6*(P11-$G$6)</f>
        <v>1.0675942013129103</v>
      </c>
      <c r="R11" s="13">
        <f t="shared" ref="R11:R20" si="8">$J$6*(P11-$G$6)</f>
        <v>0.80360141782354899</v>
      </c>
      <c r="S11" s="8"/>
      <c r="T11" s="13"/>
      <c r="U11" s="13" t="e">
        <f t="shared" si="0"/>
        <v>#DIV/0!</v>
      </c>
      <c r="V11" s="13" t="e">
        <f t="shared" si="1"/>
        <v>#DIV/0!</v>
      </c>
      <c r="W11" s="13"/>
      <c r="X11" s="13">
        <f t="shared" si="5"/>
        <v>0.6460064048305898</v>
      </c>
      <c r="Y11" s="13">
        <f t="shared" si="6"/>
        <v>4.1264883012130084E-2</v>
      </c>
      <c r="Z11" s="13"/>
      <c r="AA11" s="13">
        <f t="shared" si="2"/>
        <v>4.1264883012130084E-2</v>
      </c>
    </row>
    <row r="12" spans="1:27">
      <c r="A12" s="17" t="s">
        <v>72</v>
      </c>
      <c r="B12" s="17">
        <v>9.0960000000000001</v>
      </c>
      <c r="C12" s="17">
        <f>B12*PI()/180</f>
        <v>0.1587551487614042</v>
      </c>
      <c r="D12" s="13"/>
      <c r="E12" s="17" t="s">
        <v>45</v>
      </c>
      <c r="F12" s="47"/>
      <c r="G12" s="17">
        <f>((-M6/J6)+0.25)*100</f>
        <v>24.294134465152151</v>
      </c>
      <c r="H12" s="17">
        <f>SQRT((2*$E$1)/($B$4*$I$2*R7))</f>
        <v>42.392975665111514</v>
      </c>
      <c r="I12" s="17">
        <f>SQRT((2*$E$1)/($B$4*$I$2*R14))</f>
        <v>79.835626944592349</v>
      </c>
      <c r="J12" s="17">
        <f>0.5*R7*$I$2*$B$4*$H$12^2</f>
        <v>7.5000000000000009</v>
      </c>
      <c r="K12" s="17">
        <f>0.5*R14*$I$2*$B$4*$I$12^2</f>
        <v>7.5000000000000018</v>
      </c>
      <c r="L12" s="17">
        <f>0.5*R14*$I$2*$B$4*$E$2^2</f>
        <v>1.8827287989248029</v>
      </c>
      <c r="M12" s="13"/>
      <c r="N12" s="13"/>
      <c r="O12" s="13"/>
      <c r="P12" s="8">
        <v>4</v>
      </c>
      <c r="Q12" s="13">
        <f t="shared" si="7"/>
        <v>0.86056280087527359</v>
      </c>
      <c r="R12" s="13">
        <f t="shared" si="8"/>
        <v>0.64776437157406608</v>
      </c>
      <c r="S12" s="8"/>
      <c r="T12" s="13"/>
      <c r="U12" s="13" t="e">
        <f t="shared" si="0"/>
        <v>#DIV/0!</v>
      </c>
      <c r="V12" s="13" t="e">
        <f t="shared" si="1"/>
        <v>#DIV/0!</v>
      </c>
      <c r="W12" s="13"/>
      <c r="X12" s="13">
        <f t="shared" si="5"/>
        <v>0.52072357264096591</v>
      </c>
      <c r="Y12" s="13">
        <f t="shared" si="6"/>
        <v>2.6812255175571172E-2</v>
      </c>
      <c r="Z12" s="13"/>
      <c r="AA12" s="13">
        <f t="shared" si="2"/>
        <v>2.6812255175571172E-2</v>
      </c>
    </row>
    <row r="13" spans="1:27">
      <c r="A13" s="13"/>
      <c r="B13" s="13"/>
      <c r="C13" s="13"/>
      <c r="D13" s="13"/>
      <c r="F13" s="13"/>
      <c r="G13" s="13"/>
      <c r="H13" s="5"/>
      <c r="I13" s="5"/>
      <c r="J13" s="13"/>
      <c r="K13" s="5"/>
      <c r="L13" s="13"/>
      <c r="P13" s="8">
        <v>2</v>
      </c>
      <c r="Q13" s="13">
        <f t="shared" si="7"/>
        <v>0.65353140043763669</v>
      </c>
      <c r="R13" s="13">
        <f t="shared" si="8"/>
        <v>0.49192732532458305</v>
      </c>
      <c r="S13" s="8"/>
      <c r="T13" s="13"/>
      <c r="U13" s="13" t="e">
        <f t="shared" si="0"/>
        <v>#DIV/0!</v>
      </c>
      <c r="V13" s="13" t="e">
        <f t="shared" si="1"/>
        <v>#DIV/0!</v>
      </c>
      <c r="W13" s="13"/>
      <c r="X13" s="13">
        <f t="shared" si="5"/>
        <v>0.39544074045134214</v>
      </c>
      <c r="Y13" s="13">
        <f t="shared" si="6"/>
        <v>1.5463262341360194E-2</v>
      </c>
      <c r="Z13" s="13"/>
      <c r="AA13" s="13">
        <f t="shared" si="2"/>
        <v>1.5463262341360194E-2</v>
      </c>
    </row>
    <row r="14" spans="1:27" ht="15" customHeight="1">
      <c r="A14" s="13"/>
      <c r="B14" s="13"/>
      <c r="C14" s="13"/>
      <c r="E14" s="13"/>
      <c r="F14" s="13"/>
      <c r="G14" s="13"/>
      <c r="I14" s="13"/>
      <c r="J14" s="13"/>
      <c r="L14" s="13"/>
      <c r="P14" s="8">
        <v>0</v>
      </c>
      <c r="Q14" s="13">
        <f t="shared" si="7"/>
        <v>0.44649999999999995</v>
      </c>
      <c r="R14" s="13">
        <f t="shared" si="8"/>
        <v>0.33609027907510008</v>
      </c>
      <c r="S14" s="32">
        <v>1.8952296238698915E-2</v>
      </c>
      <c r="T14" s="13"/>
      <c r="U14" s="13">
        <f t="shared" si="0"/>
        <v>17.733485950311046</v>
      </c>
      <c r="V14" s="13">
        <f t="shared" si="1"/>
        <v>5.6390492134596917E-2</v>
      </c>
      <c r="W14" s="13"/>
      <c r="X14" s="13">
        <f t="shared" si="5"/>
        <v>0.27015790826171826</v>
      </c>
      <c r="Y14" s="13">
        <f t="shared" si="6"/>
        <v>7.2179045094971639E-3</v>
      </c>
      <c r="Z14" s="13">
        <v>1.2423E-2</v>
      </c>
      <c r="AA14" s="13">
        <f t="shared" si="2"/>
        <v>1.9640904509497164E-2</v>
      </c>
    </row>
    <row r="15" spans="1:27" ht="15" customHeight="1">
      <c r="A15" s="13"/>
      <c r="B15" s="13"/>
      <c r="C15" s="13"/>
      <c r="E15" s="13"/>
      <c r="F15" s="13"/>
      <c r="G15" s="13"/>
      <c r="H15" s="13"/>
      <c r="I15" s="13"/>
      <c r="J15" s="13"/>
      <c r="K15" s="13"/>
      <c r="P15" s="8">
        <v>-2</v>
      </c>
      <c r="Q15" s="13">
        <f t="shared" si="7"/>
        <v>0.23946859956236324</v>
      </c>
      <c r="R15" s="13">
        <f t="shared" si="8"/>
        <v>0.18025323282561714</v>
      </c>
      <c r="S15" s="8"/>
      <c r="T15" s="13"/>
      <c r="U15" s="13" t="e">
        <f t="shared" si="0"/>
        <v>#DIV/0!</v>
      </c>
      <c r="V15" s="13" t="e">
        <f t="shared" si="1"/>
        <v>#DIV/0!</v>
      </c>
      <c r="W15" s="13"/>
      <c r="X15" s="13">
        <f t="shared" si="5"/>
        <v>0.14487507607209438</v>
      </c>
      <c r="Y15" s="13">
        <f t="shared" si="6"/>
        <v>2.0761816799820818E-3</v>
      </c>
      <c r="Z15" s="13"/>
      <c r="AA15" s="13">
        <f t="shared" si="2"/>
        <v>2.0761816799820818E-3</v>
      </c>
    </row>
    <row r="16" spans="1:27" ht="15" customHeight="1">
      <c r="E16" s="5"/>
      <c r="F16" s="5"/>
      <c r="G16" s="13"/>
      <c r="H16" s="13"/>
      <c r="I16" s="13"/>
      <c r="J16" s="13"/>
      <c r="K16" s="13"/>
      <c r="P16" s="8">
        <v>-4</v>
      </c>
      <c r="Q16" s="13">
        <f t="shared" si="7"/>
        <v>3.2437199124726507E-2</v>
      </c>
      <c r="R16" s="13">
        <f t="shared" si="8"/>
        <v>2.4416186576134209E-2</v>
      </c>
      <c r="S16" s="8"/>
      <c r="T16" s="13"/>
      <c r="U16" s="13" t="e">
        <f t="shared" si="0"/>
        <v>#DIV/0!</v>
      </c>
      <c r="V16" s="13" t="e">
        <f t="shared" si="1"/>
        <v>#DIV/0!</v>
      </c>
      <c r="W16" s="13"/>
      <c r="X16" s="13">
        <f t="shared" si="5"/>
        <v>1.9592243882470536E-2</v>
      </c>
      <c r="Y16" s="13">
        <f t="shared" si="6"/>
        <v>3.8093852814943666E-5</v>
      </c>
      <c r="Z16" s="13"/>
      <c r="AA16" s="13">
        <f t="shared" si="2"/>
        <v>3.8093852814943666E-5</v>
      </c>
    </row>
    <row r="17" spans="2:27" ht="15" customHeight="1">
      <c r="P17" s="8">
        <v>-6</v>
      </c>
      <c r="Q17" s="13">
        <f t="shared" si="7"/>
        <v>-0.17459420131291023</v>
      </c>
      <c r="R17" s="13">
        <f t="shared" si="8"/>
        <v>-0.13142085967334874</v>
      </c>
      <c r="S17" s="8"/>
      <c r="T17" s="13"/>
      <c r="U17" s="13" t="e">
        <f t="shared" si="0"/>
        <v>#DIV/0!</v>
      </c>
      <c r="V17" s="13" t="e">
        <f t="shared" si="1"/>
        <v>#DIV/0!</v>
      </c>
      <c r="W17" s="13"/>
      <c r="X17" s="13">
        <f t="shared" si="5"/>
        <v>-0.10569058830715336</v>
      </c>
      <c r="Y17" s="13">
        <f t="shared" si="6"/>
        <v>1.1036410279957503E-3</v>
      </c>
      <c r="Z17" s="13"/>
      <c r="AA17" s="13">
        <f t="shared" si="2"/>
        <v>1.1036410279957503E-3</v>
      </c>
    </row>
    <row r="18" spans="2:27">
      <c r="B18" s="13"/>
      <c r="P18" s="8">
        <v>-8</v>
      </c>
      <c r="Q18" s="13">
        <f t="shared" si="7"/>
        <v>-0.38162560175054699</v>
      </c>
      <c r="R18" s="13">
        <f t="shared" si="8"/>
        <v>-0.28725790592283168</v>
      </c>
      <c r="S18" s="13"/>
      <c r="T18" s="13"/>
      <c r="U18" s="13" t="e">
        <f t="shared" si="0"/>
        <v>#DIV/0!</v>
      </c>
      <c r="V18" s="13" t="e">
        <f t="shared" si="1"/>
        <v>#DIV/0!</v>
      </c>
      <c r="W18" s="13"/>
      <c r="X18" s="13">
        <f t="shared" si="5"/>
        <v>-0.23097342049677716</v>
      </c>
      <c r="Y18" s="13">
        <f t="shared" si="6"/>
        <v>5.2728232055245013E-3</v>
      </c>
      <c r="Z18" s="13"/>
      <c r="AA18" s="13">
        <f t="shared" si="2"/>
        <v>5.2728232055245013E-3</v>
      </c>
    </row>
    <row r="19" spans="2:27">
      <c r="B19" s="13"/>
      <c r="P19" s="8">
        <v>-10</v>
      </c>
      <c r="Q19" s="13">
        <f t="shared" si="7"/>
        <v>-0.58865700218818373</v>
      </c>
      <c r="R19" s="13">
        <f t="shared" si="8"/>
        <v>-0.44309495217231459</v>
      </c>
      <c r="S19" s="13"/>
      <c r="T19" s="13"/>
      <c r="U19" s="13" t="e">
        <f t="shared" si="0"/>
        <v>#DIV/0!</v>
      </c>
      <c r="V19" s="13" t="e">
        <f t="shared" si="1"/>
        <v>#DIV/0!</v>
      </c>
      <c r="W19" s="13"/>
      <c r="X19" s="13">
        <f t="shared" si="5"/>
        <v>-0.35625625268640104</v>
      </c>
      <c r="Y19" s="13">
        <f t="shared" si="6"/>
        <v>1.2545640385401196E-2</v>
      </c>
      <c r="Z19" s="13"/>
      <c r="AA19" s="13">
        <f t="shared" si="2"/>
        <v>1.2545640385401196E-2</v>
      </c>
    </row>
    <row r="20" spans="2:27" ht="15" customHeight="1">
      <c r="P20" s="8">
        <v>-12</v>
      </c>
      <c r="Q20" s="13">
        <f t="shared" si="7"/>
        <v>-0.79568840262582041</v>
      </c>
      <c r="R20" s="13">
        <f t="shared" si="8"/>
        <v>-0.59893199842179756</v>
      </c>
      <c r="S20" s="13"/>
      <c r="T20" s="13"/>
      <c r="U20" s="13" t="e">
        <f t="shared" si="0"/>
        <v>#DIV/0!</v>
      </c>
      <c r="V20" s="13" t="e">
        <f t="shared" si="1"/>
        <v>#DIV/0!</v>
      </c>
      <c r="W20" s="13"/>
      <c r="X20" s="13">
        <f t="shared" si="5"/>
        <v>-0.48153908487602498</v>
      </c>
      <c r="Y20" s="13">
        <f t="shared" si="6"/>
        <v>2.292209256762584E-2</v>
      </c>
      <c r="Z20" s="13"/>
      <c r="AA20" s="13">
        <f t="shared" si="2"/>
        <v>2.292209256762584E-2</v>
      </c>
    </row>
    <row r="21" spans="2:27">
      <c r="P21" s="8">
        <v>-14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>
      <c r="P22" s="8">
        <v>-16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>
      <c r="P23" s="8">
        <v>-18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2:27"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2:27">
      <c r="Q25" s="13"/>
      <c r="T25" s="13" t="s">
        <v>100</v>
      </c>
      <c r="U25" s="13" t="s">
        <v>106</v>
      </c>
      <c r="V25" s="13" t="s">
        <v>107</v>
      </c>
      <c r="Z25" s="13"/>
    </row>
    <row r="26" spans="2:27">
      <c r="Q26" s="17" t="s">
        <v>69</v>
      </c>
      <c r="R26" s="17" t="s">
        <v>70</v>
      </c>
      <c r="T26" s="13">
        <v>65</v>
      </c>
      <c r="U26" s="37">
        <f>0.5*$R$14*$B$4*$I$2*T26^2</f>
        <v>4.9715807346608063</v>
      </c>
      <c r="V26" s="37">
        <f>0.5*$R$7*$B$4*$I$2*T26^2</f>
        <v>17.631942993853681</v>
      </c>
      <c r="Z26" s="13"/>
    </row>
    <row r="27" spans="2:27">
      <c r="Q27" s="17">
        <f>Q10</f>
        <v>1.2746256017505471</v>
      </c>
      <c r="R27" s="17">
        <f>R10</f>
        <v>0.9594384640730319</v>
      </c>
      <c r="T27" s="12">
        <v>70</v>
      </c>
      <c r="U27" s="37">
        <f t="shared" ref="U27:U39" si="9">0.5*$R$14*$B$4*$I$2*T27^2</f>
        <v>5.7658569467072081</v>
      </c>
      <c r="V27" s="37">
        <f t="shared" ref="V27:V39" si="10">0.5*$R$7*$B$4*$I$2*T27^2</f>
        <v>20.448880631924979</v>
      </c>
    </row>
    <row r="28" spans="2:27">
      <c r="T28" s="13">
        <v>75</v>
      </c>
      <c r="U28" s="37">
        <f t="shared" si="9"/>
        <v>6.618968433720009</v>
      </c>
      <c r="V28" s="37">
        <f t="shared" si="10"/>
        <v>23.474480317260817</v>
      </c>
    </row>
    <row r="29" spans="2:27">
      <c r="T29" s="12">
        <v>80</v>
      </c>
      <c r="U29" s="37">
        <f t="shared" si="9"/>
        <v>7.53091519569921</v>
      </c>
      <c r="V29" s="37">
        <f t="shared" si="10"/>
        <v>26.708742049861193</v>
      </c>
    </row>
    <row r="30" spans="2:27">
      <c r="T30" s="13">
        <v>85</v>
      </c>
      <c r="U30" s="37">
        <f t="shared" si="9"/>
        <v>8.5016972326448119</v>
      </c>
      <c r="V30" s="37">
        <f t="shared" si="10"/>
        <v>30.151665829726113</v>
      </c>
    </row>
    <row r="31" spans="2:27">
      <c r="T31" s="12">
        <v>90</v>
      </c>
      <c r="U31" s="37">
        <f t="shared" si="9"/>
        <v>9.5313145445568122</v>
      </c>
      <c r="V31" s="37">
        <f t="shared" si="10"/>
        <v>33.803251656855572</v>
      </c>
    </row>
    <row r="32" spans="2:27">
      <c r="T32" s="13">
        <v>95</v>
      </c>
      <c r="U32" s="37">
        <f t="shared" si="9"/>
        <v>10.619767131435214</v>
      </c>
      <c r="V32" s="37">
        <f t="shared" si="10"/>
        <v>37.663499531249578</v>
      </c>
    </row>
    <row r="33" spans="20:22">
      <c r="T33" s="12">
        <v>100</v>
      </c>
      <c r="U33" s="37">
        <f t="shared" si="9"/>
        <v>11.767054993280016</v>
      </c>
      <c r="V33" s="37">
        <f t="shared" si="10"/>
        <v>41.732409452908115</v>
      </c>
    </row>
    <row r="34" spans="20:22">
      <c r="T34" s="13">
        <v>105</v>
      </c>
      <c r="U34" s="37">
        <f t="shared" si="9"/>
        <v>12.973178130091217</v>
      </c>
      <c r="V34" s="37">
        <f t="shared" si="10"/>
        <v>46.009981421831199</v>
      </c>
    </row>
    <row r="35" spans="20:22">
      <c r="T35" s="12">
        <v>110</v>
      </c>
      <c r="U35" s="37">
        <f t="shared" si="9"/>
        <v>14.238136541868819</v>
      </c>
      <c r="V35" s="37">
        <f t="shared" si="10"/>
        <v>50.496215438018822</v>
      </c>
    </row>
    <row r="36" spans="20:22">
      <c r="T36" s="13">
        <v>115</v>
      </c>
      <c r="U36" s="37">
        <f t="shared" si="9"/>
        <v>15.561930228612821</v>
      </c>
      <c r="V36" s="37">
        <f t="shared" si="10"/>
        <v>55.191111501470985</v>
      </c>
    </row>
    <row r="37" spans="20:22">
      <c r="T37" s="12">
        <v>120</v>
      </c>
      <c r="U37" s="37">
        <f t="shared" si="9"/>
        <v>16.944559190323222</v>
      </c>
      <c r="V37" s="37">
        <f t="shared" si="10"/>
        <v>60.094669612187687</v>
      </c>
    </row>
    <row r="38" spans="20:22">
      <c r="T38" s="13">
        <v>125</v>
      </c>
      <c r="U38" s="37">
        <f t="shared" si="9"/>
        <v>18.386023427000026</v>
      </c>
      <c r="V38" s="37">
        <f t="shared" si="10"/>
        <v>65.206889770168928</v>
      </c>
    </row>
    <row r="39" spans="20:22">
      <c r="T39" s="12">
        <v>40</v>
      </c>
      <c r="U39" s="13">
        <f>0.5*$S$14*$B$4*$I$2*T39^2</f>
        <v>0.10616800352734818</v>
      </c>
      <c r="V39" s="12">
        <f t="shared" si="10"/>
        <v>6.6771855124652983</v>
      </c>
    </row>
  </sheetData>
  <mergeCells count="6">
    <mergeCell ref="F11:F12"/>
    <mergeCell ref="H4:I4"/>
    <mergeCell ref="J4:K4"/>
    <mergeCell ref="M4:N4"/>
    <mergeCell ref="H8:I8"/>
    <mergeCell ref="J8:K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0"/>
  <sheetViews>
    <sheetView workbookViewId="0">
      <selection activeCell="K15" sqref="K15"/>
    </sheetView>
  </sheetViews>
  <sheetFormatPr defaultRowHeight="15"/>
  <cols>
    <col min="1" max="1" width="16.85546875" style="12" bestFit="1" customWidth="1"/>
    <col min="2" max="2" width="11" style="12" bestFit="1" customWidth="1"/>
    <col min="3" max="3" width="11" style="12" customWidth="1"/>
    <col min="4" max="4" width="21.85546875" style="12" bestFit="1" customWidth="1"/>
    <col min="5" max="5" width="10" style="12" customWidth="1"/>
    <col min="6" max="6" width="12" style="12" bestFit="1" customWidth="1"/>
    <col min="7" max="7" width="12.140625" style="12" bestFit="1" customWidth="1"/>
    <col min="8" max="8" width="17.7109375" style="12" bestFit="1" customWidth="1"/>
    <col min="9" max="9" width="11.42578125" style="12" customWidth="1"/>
    <col min="10" max="10" width="11.85546875" style="12" bestFit="1" customWidth="1"/>
    <col min="11" max="11" width="11.140625" style="12" bestFit="1" customWidth="1"/>
    <col min="12" max="12" width="24.28515625" style="12" bestFit="1" customWidth="1"/>
    <col min="13" max="13" width="11.85546875" style="12" bestFit="1" customWidth="1"/>
    <col min="14" max="14" width="11.140625" style="12" bestFit="1" customWidth="1"/>
    <col min="15" max="16" width="17.42578125" style="12" bestFit="1" customWidth="1"/>
    <col min="17" max="16384" width="9.140625" style="12"/>
  </cols>
  <sheetData>
    <row r="1" spans="1:20" ht="17.25">
      <c r="A1" s="11" t="s">
        <v>26</v>
      </c>
      <c r="B1" s="21" t="s">
        <v>99</v>
      </c>
      <c r="C1" s="13"/>
      <c r="D1" s="11" t="s">
        <v>31</v>
      </c>
      <c r="E1" s="11">
        <v>8</v>
      </c>
      <c r="F1" s="13"/>
      <c r="G1" s="11"/>
      <c r="H1" s="11" t="s">
        <v>35</v>
      </c>
      <c r="I1" s="11" t="s">
        <v>36</v>
      </c>
      <c r="K1" s="15" t="s">
        <v>20</v>
      </c>
      <c r="L1" s="15" t="s">
        <v>50</v>
      </c>
      <c r="M1" s="15" t="s">
        <v>51</v>
      </c>
    </row>
    <row r="2" spans="1:20" ht="18">
      <c r="A2" s="11" t="s">
        <v>21</v>
      </c>
      <c r="B2" s="11">
        <v>250000</v>
      </c>
      <c r="C2" s="13"/>
      <c r="D2" s="11" t="s">
        <v>55</v>
      </c>
      <c r="E2" s="11">
        <v>80</v>
      </c>
      <c r="F2" s="13"/>
      <c r="G2" s="11" t="s">
        <v>32</v>
      </c>
      <c r="H2" s="11">
        <v>129.6</v>
      </c>
      <c r="I2" s="11">
        <f>H2/144</f>
        <v>0.89999999999999991</v>
      </c>
      <c r="J2" s="13"/>
      <c r="K2" s="11">
        <f>C7/B7</f>
        <v>1</v>
      </c>
      <c r="L2" s="11">
        <f>(2/3)*B7*(1+K2+K2^2)/(1+K2)</f>
        <v>6</v>
      </c>
      <c r="M2" s="11">
        <f>(12*E3/6)*((1+2*K2)/(1+K2))</f>
        <v>5.4</v>
      </c>
      <c r="N2" s="13"/>
      <c r="O2" s="13"/>
    </row>
    <row r="3" spans="1:20">
      <c r="A3" s="11" t="s">
        <v>17</v>
      </c>
      <c r="B3" s="11">
        <v>0.06</v>
      </c>
      <c r="C3" s="13"/>
      <c r="D3" s="11" t="s">
        <v>33</v>
      </c>
      <c r="E3" s="11">
        <v>1.8</v>
      </c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20" ht="18.75">
      <c r="A4" s="7" t="s">
        <v>34</v>
      </c>
      <c r="B4" s="11">
        <v>2.2878199999999999E-3</v>
      </c>
      <c r="C4" s="13"/>
      <c r="D4" s="13"/>
      <c r="E4" s="13"/>
      <c r="F4" s="13"/>
      <c r="G4" s="15" t="s">
        <v>60</v>
      </c>
      <c r="H4" s="42" t="s">
        <v>65</v>
      </c>
      <c r="I4" s="42"/>
      <c r="J4" s="44" t="s">
        <v>67</v>
      </c>
      <c r="K4" s="45"/>
      <c r="M4" s="43" t="s">
        <v>77</v>
      </c>
      <c r="N4" s="43"/>
      <c r="O4" s="13"/>
    </row>
    <row r="5" spans="1:20">
      <c r="A5" s="13"/>
      <c r="B5" s="13"/>
      <c r="C5" s="13"/>
      <c r="D5" s="13"/>
      <c r="E5" s="11" t="s">
        <v>7</v>
      </c>
      <c r="F5" s="13"/>
      <c r="G5" s="15" t="s">
        <v>52</v>
      </c>
      <c r="H5" s="15" t="s">
        <v>53</v>
      </c>
      <c r="I5" s="15" t="s">
        <v>54</v>
      </c>
      <c r="J5" s="15" t="s">
        <v>53</v>
      </c>
      <c r="K5" s="15" t="s">
        <v>54</v>
      </c>
      <c r="M5" s="15" t="s">
        <v>53</v>
      </c>
      <c r="N5" s="15" t="s">
        <v>54</v>
      </c>
      <c r="O5" s="13"/>
    </row>
    <row r="6" spans="1:20">
      <c r="A6" s="11"/>
      <c r="B6" s="11" t="s">
        <v>27</v>
      </c>
      <c r="C6" s="11" t="s">
        <v>28</v>
      </c>
      <c r="D6" s="13"/>
      <c r="E6" s="11">
        <f>4.61*(1-0.045*F9^(0.68))*(COS(C12))^0.15-3.1</f>
        <v>1.0143225753163088</v>
      </c>
      <c r="F6" s="13"/>
      <c r="G6" s="15">
        <v>0</v>
      </c>
      <c r="H6" s="15">
        <f>('Horizontal Chract.'!B6-'Horizontal Chract.'!B9)/('Horizontal Chract.'!A6-'Horizontal Chract.'!A9)</f>
        <v>0.10496666666666667</v>
      </c>
      <c r="I6" s="15">
        <f>H6*180/PI()</f>
        <v>6.0141469895565409</v>
      </c>
      <c r="J6" s="15">
        <f>K6*PI()/180</f>
        <v>6.3067111338361764E-2</v>
      </c>
      <c r="K6" s="15">
        <f>I6*COS(C11)/(SQRT(1+(I6*COS(C11)/(PI()*F9))^2)+(I6*COS(C11)/(PI()*F9)))</f>
        <v>3.6134793057697894</v>
      </c>
      <c r="M6" s="15">
        <f>('Horizontal Chract.'!E7-'Horizontal Chract.'!E11)/('Horizontal Chract.'!A7-'Horizontal Chract.'!A11)</f>
        <v>3.5E-4</v>
      </c>
      <c r="N6" s="15">
        <f>M6*180/PI()</f>
        <v>2.0053522829578813E-2</v>
      </c>
      <c r="Q6" s="13"/>
      <c r="R6" s="13"/>
      <c r="S6" s="13"/>
      <c r="T6" s="13"/>
    </row>
    <row r="7" spans="1:20">
      <c r="A7" s="11" t="s">
        <v>29</v>
      </c>
      <c r="B7" s="11">
        <v>6</v>
      </c>
      <c r="C7" s="11">
        <v>6</v>
      </c>
      <c r="D7" s="13"/>
      <c r="L7" s="13"/>
      <c r="M7" s="13"/>
      <c r="N7" s="13"/>
      <c r="O7" s="13"/>
      <c r="P7" s="13"/>
    </row>
    <row r="8" spans="1:20" ht="18">
      <c r="A8" s="11" t="s">
        <v>30</v>
      </c>
      <c r="B8" s="11">
        <f>B7*B3</f>
        <v>0.36</v>
      </c>
      <c r="C8" s="11">
        <f>C7*B3</f>
        <v>0.36</v>
      </c>
      <c r="D8" s="13"/>
      <c r="E8" s="11"/>
      <c r="F8" s="11" t="s">
        <v>19</v>
      </c>
      <c r="G8" s="11" t="s">
        <v>18</v>
      </c>
      <c r="H8" s="11" t="s">
        <v>56</v>
      </c>
      <c r="I8" s="13"/>
      <c r="J8" s="13"/>
      <c r="K8" s="13"/>
    </row>
    <row r="9" spans="1:20">
      <c r="A9" s="13"/>
      <c r="B9" s="13"/>
      <c r="C9" s="13"/>
      <c r="D9" s="13"/>
      <c r="E9" s="11" t="s">
        <v>44</v>
      </c>
      <c r="F9" s="46">
        <f>E3^2/I2</f>
        <v>3.6000000000000005</v>
      </c>
      <c r="G9" s="11">
        <f>((-M6/H6)+0.25)*100</f>
        <v>24.666560812956494</v>
      </c>
      <c r="H9" s="11">
        <f>0.5*'Horizontal Chract.'!$B$9*$I$2*$B$4*$E$2^2</f>
        <v>0</v>
      </c>
      <c r="J9" s="6"/>
      <c r="K9" s="6"/>
    </row>
    <row r="10" spans="1:20">
      <c r="A10" s="15"/>
      <c r="B10" s="11" t="s">
        <v>52</v>
      </c>
      <c r="C10" s="11" t="s">
        <v>61</v>
      </c>
      <c r="D10" s="13"/>
      <c r="E10" s="11" t="s">
        <v>45</v>
      </c>
      <c r="F10" s="47"/>
      <c r="G10" s="11"/>
      <c r="H10" s="11">
        <f>0.5*'Horizontal Chract.'!$J$9*$I$2*$B$4*$E$2^2</f>
        <v>0</v>
      </c>
      <c r="K10" s="13"/>
    </row>
    <row r="11" spans="1:20">
      <c r="A11" s="11" t="s">
        <v>71</v>
      </c>
      <c r="B11" s="11">
        <v>0</v>
      </c>
      <c r="C11" s="11">
        <f>B11*PI()/180</f>
        <v>0</v>
      </c>
      <c r="D11" s="13"/>
      <c r="F11" s="13"/>
      <c r="G11" s="13"/>
      <c r="H11" s="5"/>
      <c r="I11" s="5"/>
      <c r="J11" s="13"/>
      <c r="K11" s="5"/>
      <c r="L11" s="13"/>
      <c r="M11" s="13"/>
      <c r="N11" s="13"/>
      <c r="O11" s="13"/>
    </row>
    <row r="12" spans="1:20">
      <c r="A12" s="11" t="s">
        <v>72</v>
      </c>
      <c r="B12" s="11">
        <v>0</v>
      </c>
      <c r="C12" s="11">
        <f>B12*PI()/180</f>
        <v>0</v>
      </c>
      <c r="D12" s="13"/>
      <c r="E12" s="13"/>
      <c r="F12" s="13"/>
      <c r="G12" s="13"/>
      <c r="I12" s="13"/>
      <c r="J12" s="13"/>
      <c r="L12" s="13"/>
      <c r="M12" s="13"/>
      <c r="N12" s="13"/>
      <c r="O12" s="13"/>
    </row>
    <row r="13" spans="1:20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20" ht="15" customHeight="1">
      <c r="A14" s="13"/>
      <c r="B14" s="13"/>
      <c r="C14" s="13"/>
      <c r="E14" s="5"/>
      <c r="F14" s="5"/>
      <c r="G14" s="13"/>
      <c r="H14" s="13"/>
      <c r="I14" s="13"/>
      <c r="J14" s="13"/>
      <c r="K14" s="13"/>
    </row>
    <row r="15" spans="1:20" ht="15" customHeight="1">
      <c r="A15" s="13"/>
      <c r="B15" s="13"/>
      <c r="C15" s="13"/>
    </row>
    <row r="16" spans="1:20" ht="15" customHeight="1"/>
    <row r="17" spans="2:2" ht="15" customHeight="1"/>
    <row r="18" spans="2:2">
      <c r="B18" s="13"/>
    </row>
    <row r="19" spans="2:2">
      <c r="B19" s="13"/>
    </row>
    <row r="20" spans="2:2" ht="15" customHeight="1"/>
  </sheetData>
  <mergeCells count="4">
    <mergeCell ref="H4:I4"/>
    <mergeCell ref="J4:K4"/>
    <mergeCell ref="F9:F10"/>
    <mergeCell ref="M4:N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4"/>
  <sheetViews>
    <sheetView workbookViewId="0">
      <selection activeCell="L21" sqref="L21"/>
    </sheetView>
  </sheetViews>
  <sheetFormatPr defaultRowHeight="15"/>
  <cols>
    <col min="1" max="1" width="10.28515625" style="13" bestFit="1" customWidth="1"/>
    <col min="2" max="2" width="7.85546875" style="13" bestFit="1" customWidth="1"/>
    <col min="3" max="3" width="9.140625" style="13" bestFit="1" customWidth="1"/>
    <col min="4" max="4" width="8" style="13" bestFit="1" customWidth="1"/>
    <col min="5" max="5" width="9.140625" style="13"/>
    <col min="6" max="6" width="9" style="13" bestFit="1" customWidth="1"/>
    <col min="7" max="7" width="8" style="13" bestFit="1" customWidth="1"/>
    <col min="8" max="8" width="5.5703125" style="13" bestFit="1" customWidth="1"/>
    <col min="9" max="9" width="13.7109375" style="13" customWidth="1"/>
    <col min="10" max="16384" width="9.140625" style="13"/>
  </cols>
  <sheetData>
    <row r="1" spans="1:22">
      <c r="A1" s="8"/>
      <c r="B1" s="8"/>
      <c r="C1" s="8"/>
      <c r="D1" s="8"/>
      <c r="E1" s="8"/>
      <c r="F1" s="8"/>
      <c r="G1" s="8"/>
      <c r="H1" s="8"/>
      <c r="O1" s="13" t="s">
        <v>43</v>
      </c>
      <c r="P1" s="13" t="s">
        <v>42</v>
      </c>
    </row>
    <row r="2" spans="1:22">
      <c r="A2" s="8" t="s">
        <v>8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10</v>
      </c>
      <c r="G2" s="8" t="s">
        <v>11</v>
      </c>
      <c r="H2" s="8"/>
      <c r="I2" s="13" t="s">
        <v>37</v>
      </c>
      <c r="J2" s="8" t="s">
        <v>9</v>
      </c>
      <c r="K2" s="8" t="s">
        <v>38</v>
      </c>
      <c r="L2" s="8" t="s">
        <v>39</v>
      </c>
      <c r="M2" s="8" t="s">
        <v>40</v>
      </c>
      <c r="N2" s="8" t="s">
        <v>12</v>
      </c>
      <c r="O2" s="8" t="s">
        <v>41</v>
      </c>
      <c r="P2" s="8" t="s">
        <v>13</v>
      </c>
    </row>
    <row r="3" spans="1:22">
      <c r="A3" s="8" t="s">
        <v>14</v>
      </c>
      <c r="B3" s="8" t="s">
        <v>15</v>
      </c>
      <c r="C3" s="8" t="s">
        <v>16</v>
      </c>
      <c r="D3" s="8" t="s">
        <v>16</v>
      </c>
      <c r="E3" s="8" t="s">
        <v>15</v>
      </c>
      <c r="F3" s="8" t="s">
        <v>15</v>
      </c>
      <c r="G3" s="8" t="s">
        <v>15</v>
      </c>
      <c r="H3" s="8"/>
      <c r="I3" s="8" t="s">
        <v>15</v>
      </c>
      <c r="J3" s="8" t="s">
        <v>15</v>
      </c>
      <c r="K3" s="8" t="s">
        <v>15</v>
      </c>
      <c r="L3" s="8" t="s">
        <v>15</v>
      </c>
      <c r="M3" s="8" t="s">
        <v>15</v>
      </c>
      <c r="N3" s="8" t="s">
        <v>15</v>
      </c>
      <c r="O3" s="8" t="s">
        <v>15</v>
      </c>
      <c r="P3" s="8" t="s">
        <v>15</v>
      </c>
      <c r="S3" s="13" t="s">
        <v>62</v>
      </c>
      <c r="T3" s="13" t="s">
        <v>63</v>
      </c>
      <c r="U3" s="13" t="s">
        <v>64</v>
      </c>
    </row>
    <row r="4" spans="1:22">
      <c r="A4" s="8">
        <v>10</v>
      </c>
      <c r="B4" s="8">
        <v>0.70699999999999996</v>
      </c>
      <c r="C4" s="8">
        <v>0.11638999999999999</v>
      </c>
      <c r="D4" s="8">
        <v>0.11355</v>
      </c>
      <c r="E4" s="8">
        <v>-3.1800000000000002E-2</v>
      </c>
      <c r="F4" s="8">
        <v>2.3099999999999999E-2</v>
      </c>
      <c r="G4" s="8">
        <v>1</v>
      </c>
      <c r="H4" s="8"/>
      <c r="I4" s="13">
        <f>'Horizontal Info.'!$H$6*('Horizontal Chract.'!A4-'Horizontal Chract.'!$A$9)</f>
        <v>1.0496666666666667</v>
      </c>
      <c r="J4" s="13">
        <f>'Horizontal Info.'!$J$6*('Horizontal Chract.'!A4-'Horizontal Chract.'!$A$9)</f>
        <v>0.63067111338361759</v>
      </c>
      <c r="K4" s="8"/>
      <c r="M4" s="13">
        <f t="shared" ref="M4:M14" si="0">B4/C4</f>
        <v>6.0744050176131967</v>
      </c>
      <c r="N4" s="13" t="e">
        <f t="shared" ref="N4:N14" si="1">J4/K4</f>
        <v>#DIV/0!</v>
      </c>
      <c r="O4" s="13">
        <f t="shared" ref="O4:P14" si="2">1/M4</f>
        <v>0.16462517680339464</v>
      </c>
      <c r="P4" s="13" t="e">
        <f t="shared" si="2"/>
        <v>#DIV/0!</v>
      </c>
      <c r="S4" s="13">
        <f t="shared" ref="S4" si="3">0.1035*((A4-((57.3*J4)/(PI()*3.6)))-(-4.313))</f>
        <v>1.1506868627031941</v>
      </c>
      <c r="T4" s="13">
        <f>J4^2/(PI()*'Horizontal Info.'!$F$9*'Horizontal Info.'!$E$6)</f>
        <v>3.467188184484641E-2</v>
      </c>
      <c r="V4" s="13">
        <f t="shared" ref="V4:V14" si="4">T4+U4</f>
        <v>3.467188184484641E-2</v>
      </c>
    </row>
    <row r="5" spans="1:22">
      <c r="A5" s="8">
        <v>7</v>
      </c>
      <c r="B5" s="8">
        <v>0.69520000000000004</v>
      </c>
      <c r="C5" s="8">
        <v>4.9090000000000002E-2</v>
      </c>
      <c r="D5" s="8">
        <v>4.5319999999999999E-2</v>
      </c>
      <c r="E5" s="8">
        <v>1.11E-2</v>
      </c>
      <c r="F5" s="8">
        <v>3.1099999999999999E-2</v>
      </c>
      <c r="G5" s="8">
        <v>1</v>
      </c>
      <c r="H5" s="8"/>
      <c r="I5" s="13">
        <f>'Horizontal Info.'!$H$6*('Horizontal Chract.'!A5-'Horizontal Chract.'!$A$9)</f>
        <v>0.73476666666666668</v>
      </c>
      <c r="J5" s="13">
        <f>'Horizontal Info.'!$J$6*('Horizontal Chract.'!A5-'Horizontal Chract.'!$A$9)</f>
        <v>0.44146977936853238</v>
      </c>
      <c r="K5" s="8"/>
      <c r="M5" s="13">
        <f t="shared" si="0"/>
        <v>14.161743735995111</v>
      </c>
      <c r="N5" s="13" t="e">
        <f t="shared" si="1"/>
        <v>#DIV/0!</v>
      </c>
      <c r="O5" s="13">
        <f t="shared" si="2"/>
        <v>7.0612773302646717E-2</v>
      </c>
      <c r="P5" s="13" t="e">
        <f t="shared" si="2"/>
        <v>#DIV/0!</v>
      </c>
      <c r="S5" s="13">
        <f t="shared" ref="S5:S14" si="5">0.1035*((A5-((57.3*J5)/(PI()*3.6)))-(-4.313))</f>
        <v>0.93939945389223578</v>
      </c>
      <c r="T5" s="13">
        <f>J5^2/(PI()*'Horizontal Info.'!$F$9*'Horizontal Info.'!$E$6)</f>
        <v>1.6989222103974747E-2</v>
      </c>
      <c r="V5" s="13">
        <f t="shared" si="4"/>
        <v>1.6989222103974747E-2</v>
      </c>
    </row>
    <row r="6" spans="1:22">
      <c r="A6" s="8">
        <v>6</v>
      </c>
      <c r="B6" s="8">
        <v>0.62980000000000003</v>
      </c>
      <c r="C6" s="8">
        <v>3.542E-2</v>
      </c>
      <c r="D6" s="8">
        <v>3.0849999999999999E-2</v>
      </c>
      <c r="E6" s="8">
        <v>1.0500000000000001E-2</v>
      </c>
      <c r="F6" s="8">
        <v>3.7699999999999997E-2</v>
      </c>
      <c r="G6" s="8">
        <v>1</v>
      </c>
      <c r="H6" s="8"/>
      <c r="I6" s="13">
        <f>'Horizontal Info.'!$H$6*('Horizontal Chract.'!A6-'Horizontal Chract.'!$A$9)</f>
        <v>0.62980000000000003</v>
      </c>
      <c r="J6" s="13">
        <f>'Horizontal Info.'!$J$6*('Horizontal Chract.'!A6-'Horizontal Chract.'!$A$9)</f>
        <v>0.37840266803017059</v>
      </c>
      <c r="K6" s="8"/>
      <c r="M6" s="13">
        <f t="shared" si="0"/>
        <v>17.780914737436476</v>
      </c>
      <c r="N6" s="13" t="e">
        <f t="shared" si="1"/>
        <v>#DIV/0!</v>
      </c>
      <c r="O6" s="13">
        <f t="shared" si="2"/>
        <v>5.6240076214671329E-2</v>
      </c>
      <c r="P6" s="13" t="e">
        <f t="shared" si="2"/>
        <v>#DIV/0!</v>
      </c>
      <c r="S6" s="13">
        <f t="shared" si="5"/>
        <v>0.86897031762191634</v>
      </c>
      <c r="T6" s="13">
        <f>J6^2/(PI()*'Horizontal Info.'!$F$9*'Horizontal Info.'!$E$6)</f>
        <v>1.2481877464144709E-2</v>
      </c>
      <c r="V6" s="13">
        <f t="shared" si="4"/>
        <v>1.2481877464144709E-2</v>
      </c>
    </row>
    <row r="7" spans="1:22">
      <c r="A7" s="8">
        <v>4</v>
      </c>
      <c r="B7" s="8">
        <v>0.43969999999999998</v>
      </c>
      <c r="C7" s="8">
        <v>1.259E-2</v>
      </c>
      <c r="D7" s="8">
        <v>5.1999999999999998E-3</v>
      </c>
      <c r="E7" s="8">
        <v>1.4E-3</v>
      </c>
      <c r="F7" s="8">
        <v>3.27E-2</v>
      </c>
      <c r="G7" s="8">
        <v>1</v>
      </c>
      <c r="H7" s="8"/>
      <c r="I7" s="13">
        <f>'Horizontal Info.'!$H$6*('Horizontal Chract.'!A7-'Horizontal Chract.'!$A$9)</f>
        <v>0.41986666666666667</v>
      </c>
      <c r="J7" s="13">
        <f>'Horizontal Info.'!$J$6*('Horizontal Chract.'!A7-'Horizontal Chract.'!$A$9)</f>
        <v>0.25226844535344706</v>
      </c>
      <c r="K7" s="8"/>
      <c r="M7" s="13">
        <f t="shared" si="0"/>
        <v>34.924543288324067</v>
      </c>
      <c r="N7" s="13" t="e">
        <f t="shared" si="1"/>
        <v>#DIV/0!</v>
      </c>
      <c r="O7" s="13">
        <f t="shared" si="2"/>
        <v>2.8633158972026382E-2</v>
      </c>
      <c r="P7" s="13" t="e">
        <f t="shared" si="2"/>
        <v>#DIV/0!</v>
      </c>
      <c r="S7" s="13">
        <f t="shared" si="5"/>
        <v>0.72811204508127758</v>
      </c>
      <c r="T7" s="13">
        <f>J7^2/(PI()*'Horizontal Info.'!$F$9*'Horizontal Info.'!$E$6)</f>
        <v>5.5475010951754264E-3</v>
      </c>
      <c r="V7" s="13">
        <f t="shared" si="4"/>
        <v>5.5475010951754264E-3</v>
      </c>
    </row>
    <row r="8" spans="1:22">
      <c r="A8" s="8">
        <v>2</v>
      </c>
      <c r="B8" s="8">
        <v>0.25679999999999997</v>
      </c>
      <c r="C8" s="8">
        <v>6.1900000000000002E-3</v>
      </c>
      <c r="D8" s="8">
        <v>1.89E-3</v>
      </c>
      <c r="E8" s="8">
        <v>-6.6E-3</v>
      </c>
      <c r="F8" s="8">
        <v>0.82479999999999998</v>
      </c>
      <c r="G8" s="8">
        <v>1</v>
      </c>
      <c r="H8" s="8"/>
      <c r="I8" s="13">
        <f>'Horizontal Info.'!$H$6*('Horizontal Chract.'!A8-'Horizontal Chract.'!$A$9)</f>
        <v>0.20993333333333333</v>
      </c>
      <c r="J8" s="13">
        <f>'Horizontal Info.'!$J$6*('Horizontal Chract.'!A8-'Horizontal Chract.'!$A$9)</f>
        <v>0.12613422267672353</v>
      </c>
      <c r="K8" s="8"/>
      <c r="M8" s="13">
        <f t="shared" si="0"/>
        <v>41.486268174474951</v>
      </c>
      <c r="N8" s="13" t="e">
        <f t="shared" si="1"/>
        <v>#DIV/0!</v>
      </c>
      <c r="O8" s="13">
        <f t="shared" si="2"/>
        <v>2.4104361370716514E-2</v>
      </c>
      <c r="P8" s="13" t="e">
        <f t="shared" si="2"/>
        <v>#DIV/0!</v>
      </c>
      <c r="S8" s="13">
        <f t="shared" si="5"/>
        <v>0.58725377254063871</v>
      </c>
      <c r="T8" s="13">
        <f>J8^2/(PI()*'Horizontal Info.'!$F$9*'Horizontal Info.'!$E$6)</f>
        <v>1.3868752737938566E-3</v>
      </c>
      <c r="V8" s="13">
        <f t="shared" si="4"/>
        <v>1.3868752737938566E-3</v>
      </c>
    </row>
    <row r="9" spans="1:22">
      <c r="A9" s="8">
        <v>0</v>
      </c>
      <c r="B9" s="8">
        <v>0</v>
      </c>
      <c r="C9" s="8">
        <v>6.0299999999999998E-3</v>
      </c>
      <c r="D9" s="8">
        <v>1.6000000000000001E-3</v>
      </c>
      <c r="E9" s="8">
        <v>0</v>
      </c>
      <c r="F9" s="8">
        <v>1</v>
      </c>
      <c r="G9" s="8">
        <v>1</v>
      </c>
      <c r="H9" s="8"/>
      <c r="I9" s="13">
        <f>'Horizontal Info.'!$H$6*('Horizontal Chract.'!A9-'Horizontal Chract.'!$A$9)</f>
        <v>0</v>
      </c>
      <c r="J9" s="13">
        <f>'Horizontal Info.'!$J$6*('Horizontal Chract.'!A9-'Horizontal Chract.'!$A$9)</f>
        <v>0</v>
      </c>
      <c r="K9" s="8">
        <v>1.2999999999999999E-2</v>
      </c>
      <c r="M9" s="13">
        <f t="shared" si="0"/>
        <v>0</v>
      </c>
      <c r="N9" s="13">
        <f t="shared" si="1"/>
        <v>0</v>
      </c>
      <c r="O9" s="13" t="e">
        <f t="shared" si="2"/>
        <v>#DIV/0!</v>
      </c>
      <c r="P9" s="13" t="e">
        <f t="shared" si="2"/>
        <v>#DIV/0!</v>
      </c>
      <c r="S9" s="13">
        <f t="shared" si="5"/>
        <v>0.44639549999999995</v>
      </c>
      <c r="T9" s="13">
        <f>J9^2/(PI()*'Horizontal Info.'!$F$9*'Horizontal Info.'!$E$6)</f>
        <v>0</v>
      </c>
      <c r="U9" s="13">
        <v>1.2999999999999999E-2</v>
      </c>
      <c r="V9" s="13">
        <f t="shared" si="4"/>
        <v>1.2999999999999999E-2</v>
      </c>
    </row>
    <row r="10" spans="1:22">
      <c r="A10" s="8">
        <v>-2</v>
      </c>
      <c r="B10" s="8">
        <v>-0.25690000000000002</v>
      </c>
      <c r="C10" s="8">
        <v>6.1900000000000002E-3</v>
      </c>
      <c r="D10" s="8">
        <v>1.89E-3</v>
      </c>
      <c r="E10" s="8">
        <v>6.6E-3</v>
      </c>
      <c r="F10" s="8">
        <v>1</v>
      </c>
      <c r="G10" s="8">
        <v>0.82489999999999997</v>
      </c>
      <c r="H10" s="8"/>
      <c r="I10" s="13">
        <f>'Horizontal Info.'!$H$6*('Horizontal Chract.'!A10-'Horizontal Chract.'!$A$9)</f>
        <v>-0.20993333333333333</v>
      </c>
      <c r="J10" s="13">
        <f>'Horizontal Info.'!$J$6*('Horizontal Chract.'!A10-'Horizontal Chract.'!$A$9)</f>
        <v>-0.12613422267672353</v>
      </c>
      <c r="K10" s="8"/>
      <c r="M10" s="13">
        <f t="shared" si="0"/>
        <v>-41.502423263327948</v>
      </c>
      <c r="N10" s="13" t="e">
        <f t="shared" si="1"/>
        <v>#DIV/0!</v>
      </c>
      <c r="O10" s="13">
        <f t="shared" si="2"/>
        <v>-2.4094978590891398E-2</v>
      </c>
      <c r="P10" s="13" t="e">
        <f t="shared" si="2"/>
        <v>#DIV/0!</v>
      </c>
      <c r="S10" s="13">
        <f t="shared" si="5"/>
        <v>0.30553722745936118</v>
      </c>
      <c r="T10" s="13">
        <f>J10^2/(PI()*'Horizontal Info.'!$F$9*'Horizontal Info.'!$E$6)</f>
        <v>1.3868752737938566E-3</v>
      </c>
      <c r="V10" s="13">
        <f t="shared" si="4"/>
        <v>1.3868752737938566E-3</v>
      </c>
    </row>
    <row r="11" spans="1:22">
      <c r="A11" s="8">
        <v>-4</v>
      </c>
      <c r="B11" s="8">
        <v>-0.43969999999999998</v>
      </c>
      <c r="C11" s="8">
        <v>1.259E-2</v>
      </c>
      <c r="D11" s="8">
        <v>5.1900000000000002E-3</v>
      </c>
      <c r="E11" s="8">
        <v>-1.4E-3</v>
      </c>
      <c r="F11" s="8">
        <v>1</v>
      </c>
      <c r="G11" s="8">
        <v>3.27E-2</v>
      </c>
      <c r="H11" s="8"/>
      <c r="I11" s="13">
        <f>'Horizontal Info.'!$H$6*('Horizontal Chract.'!A11-'Horizontal Chract.'!$A$9)</f>
        <v>-0.41986666666666667</v>
      </c>
      <c r="J11" s="13">
        <f>'Horizontal Info.'!$J$6*('Horizontal Chract.'!A11-'Horizontal Chract.'!$A$9)</f>
        <v>-0.25226844535344706</v>
      </c>
      <c r="K11" s="8"/>
      <c r="M11" s="13">
        <f t="shared" si="0"/>
        <v>-34.924543288324067</v>
      </c>
      <c r="N11" s="13" t="e">
        <f t="shared" si="1"/>
        <v>#DIV/0!</v>
      </c>
      <c r="O11" s="13">
        <f t="shared" si="2"/>
        <v>-2.8633158972026382E-2</v>
      </c>
      <c r="P11" s="13" t="e">
        <f t="shared" si="2"/>
        <v>#DIV/0!</v>
      </c>
      <c r="S11" s="13">
        <f t="shared" si="5"/>
        <v>0.16467895491872234</v>
      </c>
      <c r="T11" s="13">
        <f>J11^2/(PI()*'Horizontal Info.'!$F$9*'Horizontal Info.'!$E$6)</f>
        <v>5.5475010951754264E-3</v>
      </c>
      <c r="V11" s="13">
        <f t="shared" si="4"/>
        <v>5.5475010951754264E-3</v>
      </c>
    </row>
    <row r="12" spans="1:22">
      <c r="A12" s="8">
        <v>-6</v>
      </c>
      <c r="B12" s="8">
        <v>-0.62980000000000003</v>
      </c>
      <c r="C12" s="8">
        <v>3.542E-2</v>
      </c>
      <c r="D12" s="8">
        <v>3.0849999999999999E-2</v>
      </c>
      <c r="E12" s="8">
        <v>-1.0500000000000001E-2</v>
      </c>
      <c r="F12" s="8">
        <v>3.7699999999999997E-2</v>
      </c>
      <c r="G12" s="8">
        <v>1</v>
      </c>
      <c r="H12" s="8"/>
      <c r="I12" s="13">
        <f>'Horizontal Info.'!$H$6*('Horizontal Chract.'!A12-'Horizontal Chract.'!$A$9)</f>
        <v>-0.62980000000000003</v>
      </c>
      <c r="J12" s="13">
        <f>'Horizontal Info.'!$J$6*('Horizontal Chract.'!A12-'Horizontal Chract.'!$A$9)</f>
        <v>-0.37840266803017059</v>
      </c>
      <c r="K12" s="8"/>
      <c r="M12" s="13">
        <f t="shared" si="0"/>
        <v>-17.780914737436476</v>
      </c>
      <c r="N12" s="13" t="e">
        <f t="shared" si="1"/>
        <v>#DIV/0!</v>
      </c>
      <c r="O12" s="13">
        <f t="shared" si="2"/>
        <v>-5.6240076214671329E-2</v>
      </c>
      <c r="P12" s="13" t="e">
        <f t="shared" si="2"/>
        <v>#DIV/0!</v>
      </c>
      <c r="S12" s="13">
        <f t="shared" si="5"/>
        <v>2.3820682378083526E-2</v>
      </c>
      <c r="T12" s="13">
        <f>J12^2/(PI()*'Horizontal Info.'!$F$9*'Horizontal Info.'!$E$6)</f>
        <v>1.2481877464144709E-2</v>
      </c>
      <c r="V12" s="13">
        <f t="shared" si="4"/>
        <v>1.2481877464144709E-2</v>
      </c>
    </row>
    <row r="13" spans="1:22">
      <c r="A13" s="8">
        <v>-7</v>
      </c>
      <c r="B13" s="8">
        <v>-0.69520000000000004</v>
      </c>
      <c r="C13" s="8">
        <v>4.9090000000000002E-2</v>
      </c>
      <c r="D13" s="8">
        <v>4.5319999999999999E-2</v>
      </c>
      <c r="E13" s="8">
        <v>-1.11E-2</v>
      </c>
      <c r="F13" s="8">
        <v>3.1099999999999999E-2</v>
      </c>
      <c r="G13" s="8">
        <v>1</v>
      </c>
      <c r="H13" s="8"/>
      <c r="I13" s="13">
        <f>'Horizontal Info.'!$H$6*('Horizontal Chract.'!A13-'Horizontal Chract.'!$A$9)</f>
        <v>-0.73476666666666668</v>
      </c>
      <c r="J13" s="13">
        <f>'Horizontal Info.'!$J$6*('Horizontal Chract.'!A13-'Horizontal Chract.'!$A$9)</f>
        <v>-0.44146977936853238</v>
      </c>
      <c r="M13" s="13">
        <f t="shared" si="0"/>
        <v>-14.161743735995111</v>
      </c>
      <c r="N13" s="13" t="e">
        <f t="shared" si="1"/>
        <v>#DIV/0!</v>
      </c>
      <c r="O13" s="13">
        <f t="shared" si="2"/>
        <v>-7.0612773302646717E-2</v>
      </c>
      <c r="P13" s="13" t="e">
        <f t="shared" si="2"/>
        <v>#DIV/0!</v>
      </c>
      <c r="S13" s="13">
        <f t="shared" si="5"/>
        <v>-4.6608453892235772E-2</v>
      </c>
      <c r="T13" s="13">
        <f>J13^2/(PI()*'Horizontal Info.'!$F$9*'Horizontal Info.'!$E$6)</f>
        <v>1.6989222103974747E-2</v>
      </c>
      <c r="V13" s="13">
        <f t="shared" si="4"/>
        <v>1.6989222103974747E-2</v>
      </c>
    </row>
    <row r="14" spans="1:22">
      <c r="A14" s="8">
        <v>-10</v>
      </c>
      <c r="B14" s="8">
        <v>-0.70699999999999996</v>
      </c>
      <c r="C14" s="8">
        <v>0.11638999999999999</v>
      </c>
      <c r="D14" s="8">
        <v>0.11355</v>
      </c>
      <c r="E14" s="8">
        <v>-3.1800000000000002E-2</v>
      </c>
      <c r="F14" s="8">
        <v>2.3099999999999999E-2</v>
      </c>
      <c r="G14" s="8">
        <v>1</v>
      </c>
      <c r="H14" s="8"/>
      <c r="I14" s="13">
        <f>'Horizontal Info.'!$H$6*('Horizontal Chract.'!A14-'Horizontal Chract.'!$A$9)</f>
        <v>-1.0496666666666667</v>
      </c>
      <c r="J14" s="13">
        <f>'Horizontal Info.'!$J$6*('Horizontal Chract.'!A14-'Horizontal Chract.'!$A$9)</f>
        <v>-0.63067111338361759</v>
      </c>
      <c r="M14" s="13">
        <f t="shared" si="0"/>
        <v>-6.0744050176131967</v>
      </c>
      <c r="N14" s="13" t="e">
        <f t="shared" si="1"/>
        <v>#DIV/0!</v>
      </c>
      <c r="O14" s="13">
        <f t="shared" si="2"/>
        <v>-0.16462517680339464</v>
      </c>
      <c r="P14" s="13" t="e">
        <f t="shared" si="2"/>
        <v>#DIV/0!</v>
      </c>
      <c r="S14" s="13">
        <f t="shared" si="5"/>
        <v>-0.25789586270319415</v>
      </c>
      <c r="T14" s="13">
        <f>J14^2/(PI()*'Horizontal Info.'!$F$9*'Horizontal Info.'!$E$6)</f>
        <v>3.467188184484641E-2</v>
      </c>
      <c r="V14" s="13">
        <f t="shared" si="4"/>
        <v>3.467188184484641E-2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0"/>
  <sheetViews>
    <sheetView workbookViewId="0">
      <selection activeCell="E1" sqref="E1"/>
    </sheetView>
  </sheetViews>
  <sheetFormatPr defaultRowHeight="15"/>
  <cols>
    <col min="1" max="1" width="16.85546875" style="12" bestFit="1" customWidth="1"/>
    <col min="2" max="2" width="11" style="12" bestFit="1" customWidth="1"/>
    <col min="3" max="3" width="11" style="12" customWidth="1"/>
    <col min="4" max="4" width="21.85546875" style="12" bestFit="1" customWidth="1"/>
    <col min="5" max="5" width="10" style="12" customWidth="1"/>
    <col min="6" max="6" width="12" style="12" bestFit="1" customWidth="1"/>
    <col min="7" max="7" width="12.140625" style="12" bestFit="1" customWidth="1"/>
    <col min="8" max="8" width="17.7109375" style="12" bestFit="1" customWidth="1"/>
    <col min="9" max="9" width="11.42578125" style="12" customWidth="1"/>
    <col min="10" max="10" width="11.85546875" style="12" bestFit="1" customWidth="1"/>
    <col min="11" max="11" width="11.140625" style="12" bestFit="1" customWidth="1"/>
    <col min="12" max="12" width="24.28515625" style="12" bestFit="1" customWidth="1"/>
    <col min="13" max="13" width="11.85546875" style="12" bestFit="1" customWidth="1"/>
    <col min="14" max="14" width="11.140625" style="12" bestFit="1" customWidth="1"/>
    <col min="15" max="16" width="17.42578125" style="12" bestFit="1" customWidth="1"/>
    <col min="17" max="16384" width="9.140625" style="12"/>
  </cols>
  <sheetData>
    <row r="1" spans="1:20" ht="17.25">
      <c r="A1" s="21" t="s">
        <v>26</v>
      </c>
      <c r="B1" s="21" t="s">
        <v>78</v>
      </c>
      <c r="C1" s="13"/>
      <c r="D1" s="21" t="s">
        <v>31</v>
      </c>
      <c r="E1" s="21">
        <v>8</v>
      </c>
      <c r="F1" s="13"/>
      <c r="G1" s="21"/>
      <c r="H1" s="21" t="s">
        <v>35</v>
      </c>
      <c r="I1" s="21" t="s">
        <v>36</v>
      </c>
      <c r="K1" s="20" t="s">
        <v>20</v>
      </c>
      <c r="L1" s="20" t="s">
        <v>50</v>
      </c>
      <c r="M1" s="20" t="s">
        <v>51</v>
      </c>
    </row>
    <row r="2" spans="1:20" ht="18">
      <c r="A2" s="21" t="s">
        <v>21</v>
      </c>
      <c r="B2" s="21">
        <v>250000</v>
      </c>
      <c r="C2" s="13"/>
      <c r="D2" s="21" t="s">
        <v>55</v>
      </c>
      <c r="E2" s="21">
        <v>80</v>
      </c>
      <c r="F2" s="13"/>
      <c r="G2" s="21" t="s">
        <v>32</v>
      </c>
      <c r="H2" s="21">
        <v>0.29582999999999998</v>
      </c>
      <c r="I2" s="21">
        <f>H2/144</f>
        <v>2.0543749999999998E-3</v>
      </c>
      <c r="J2" s="13"/>
      <c r="K2" s="21">
        <f>C7/B7</f>
        <v>1</v>
      </c>
      <c r="L2" s="21">
        <f>(2/3)*B7*(1+K2+K2^2)/(1+K2)</f>
        <v>6</v>
      </c>
      <c r="M2" s="21">
        <f>(12*E3/6)*((1+2*K2)/(1+K2))</f>
        <v>1.77501</v>
      </c>
      <c r="N2" s="13"/>
      <c r="O2" s="13"/>
    </row>
    <row r="3" spans="1:20">
      <c r="A3" s="21" t="s">
        <v>17</v>
      </c>
      <c r="B3" s="21">
        <v>0.09</v>
      </c>
      <c r="C3" s="13"/>
      <c r="D3" s="21" t="s">
        <v>33</v>
      </c>
      <c r="E3" s="21">
        <v>0.59167000000000003</v>
      </c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20" ht="18.75">
      <c r="A4" s="7" t="s">
        <v>34</v>
      </c>
      <c r="B4" s="21">
        <v>2.2878199999999999E-3</v>
      </c>
      <c r="C4" s="13"/>
      <c r="D4" s="13"/>
      <c r="E4" s="13"/>
      <c r="F4" s="13"/>
      <c r="G4" s="20" t="s">
        <v>60</v>
      </c>
      <c r="H4" s="42" t="s">
        <v>65</v>
      </c>
      <c r="I4" s="42"/>
      <c r="J4" s="44" t="s">
        <v>67</v>
      </c>
      <c r="K4" s="45"/>
      <c r="M4" s="43" t="s">
        <v>77</v>
      </c>
      <c r="N4" s="43"/>
      <c r="O4" s="13"/>
    </row>
    <row r="5" spans="1:20">
      <c r="A5" s="13"/>
      <c r="B5" s="13"/>
      <c r="C5" s="13"/>
      <c r="D5" s="13"/>
      <c r="E5" s="21" t="s">
        <v>7</v>
      </c>
      <c r="F5" s="13"/>
      <c r="G5" s="20" t="s">
        <v>52</v>
      </c>
      <c r="H5" s="20" t="s">
        <v>53</v>
      </c>
      <c r="I5" s="20" t="s">
        <v>54</v>
      </c>
      <c r="J5" s="20" t="s">
        <v>53</v>
      </c>
      <c r="K5" s="20" t="s">
        <v>54</v>
      </c>
      <c r="M5" s="20" t="s">
        <v>53</v>
      </c>
      <c r="N5" s="20" t="s">
        <v>54</v>
      </c>
      <c r="O5" s="13"/>
    </row>
    <row r="6" spans="1:20">
      <c r="A6" s="21"/>
      <c r="B6" s="21" t="s">
        <v>27</v>
      </c>
      <c r="C6" s="21" t="s">
        <v>28</v>
      </c>
      <c r="D6" s="13"/>
      <c r="E6" s="21">
        <f>4.61*(1-0.045*F9^(0.68))*(COS(C12))^0.15-3.1</f>
        <v>-5.3184072656008574</v>
      </c>
      <c r="F6" s="13"/>
      <c r="G6" s="20">
        <v>0</v>
      </c>
      <c r="H6" s="20">
        <f>('Vertical Chract.'!B6-'Vertical Chract.'!B9)/('Vertical Chract.'!A6-'Vertical Chract.'!A9)</f>
        <v>0.10645</v>
      </c>
      <c r="I6" s="20">
        <f>H6*180/PI()</f>
        <v>6.0991357291676138</v>
      </c>
      <c r="J6" s="20">
        <f>K6*PI()/180</f>
        <v>0.10524412092997008</v>
      </c>
      <c r="K6" s="20">
        <f>I6*COS(C11)/(SQRT(1+(I6*COS(C11)/(PI()*F9))^2)+(I6*COS(C11)/(PI()*F9)))</f>
        <v>6.0300439478517385</v>
      </c>
      <c r="M6" s="20">
        <f>('Vertical Chract.'!E7-'Vertical Chract.'!E11)/('Vertical Chract.'!A7-'Vertical Chract.'!A11)</f>
        <v>-1.2999999999999999E-3</v>
      </c>
      <c r="N6" s="20">
        <f>M6*180/PI()</f>
        <v>-7.448451336700701E-2</v>
      </c>
      <c r="Q6" s="13"/>
      <c r="R6" s="13"/>
      <c r="S6" s="13"/>
      <c r="T6" s="13"/>
    </row>
    <row r="7" spans="1:20">
      <c r="A7" s="21" t="s">
        <v>29</v>
      </c>
      <c r="B7" s="21">
        <v>6</v>
      </c>
      <c r="C7" s="21">
        <v>6</v>
      </c>
      <c r="D7" s="13"/>
      <c r="L7" s="13"/>
      <c r="M7" s="13"/>
      <c r="N7" s="13"/>
      <c r="O7" s="13"/>
      <c r="P7" s="13"/>
    </row>
    <row r="8" spans="1:20" ht="18">
      <c r="A8" s="21" t="s">
        <v>30</v>
      </c>
      <c r="B8" s="21">
        <f>B7*B3</f>
        <v>0.54</v>
      </c>
      <c r="C8" s="21">
        <f>C7*B3</f>
        <v>0.54</v>
      </c>
      <c r="D8" s="13"/>
      <c r="E8" s="21"/>
      <c r="F8" s="21" t="s">
        <v>19</v>
      </c>
      <c r="G8" s="21" t="s">
        <v>18</v>
      </c>
      <c r="H8" s="21" t="s">
        <v>56</v>
      </c>
      <c r="I8" s="13"/>
      <c r="J8" s="13"/>
      <c r="K8" s="13"/>
    </row>
    <row r="9" spans="1:20">
      <c r="A9" s="13"/>
      <c r="B9" s="13"/>
      <c r="C9" s="13"/>
      <c r="D9" s="13"/>
      <c r="E9" s="21" t="s">
        <v>44</v>
      </c>
      <c r="F9" s="46">
        <f>E3^2/I2</f>
        <v>170.40384004867664</v>
      </c>
      <c r="G9" s="21">
        <f>((-M6/H6)+0.25)*100</f>
        <v>26.221230624706436</v>
      </c>
      <c r="H9" s="21">
        <f>0.5*'Vertical Chract.'!$B$9*$I$2*$B$4*$E$2^2</f>
        <v>0</v>
      </c>
      <c r="J9" s="6"/>
      <c r="K9" s="6"/>
    </row>
    <row r="10" spans="1:20">
      <c r="A10" s="20"/>
      <c r="B10" s="21" t="s">
        <v>52</v>
      </c>
      <c r="C10" s="21" t="s">
        <v>61</v>
      </c>
      <c r="D10" s="13"/>
      <c r="E10" s="21" t="s">
        <v>45</v>
      </c>
      <c r="F10" s="47"/>
      <c r="G10" s="21"/>
      <c r="H10" s="21">
        <f>0.5*'Vertical Chract.'!$J$9*$I$2*$B$4*$E$2^2</f>
        <v>0</v>
      </c>
      <c r="K10" s="13"/>
    </row>
    <row r="11" spans="1:20">
      <c r="A11" s="21" t="s">
        <v>71</v>
      </c>
      <c r="B11" s="21">
        <v>0</v>
      </c>
      <c r="C11" s="21">
        <f>B11*PI()/180</f>
        <v>0</v>
      </c>
      <c r="D11" s="13"/>
      <c r="F11" s="13"/>
      <c r="G11" s="13"/>
      <c r="H11" s="5"/>
      <c r="I11" s="5"/>
      <c r="J11" s="13"/>
      <c r="K11" s="5"/>
      <c r="L11" s="13"/>
      <c r="M11" s="13"/>
      <c r="N11" s="13"/>
      <c r="O11" s="13"/>
    </row>
    <row r="12" spans="1:20">
      <c r="A12" s="21" t="s">
        <v>72</v>
      </c>
      <c r="B12" s="21">
        <v>0</v>
      </c>
      <c r="C12" s="21">
        <f>B12*PI()/180</f>
        <v>0</v>
      </c>
      <c r="D12" s="13"/>
      <c r="E12" s="13"/>
      <c r="F12" s="13"/>
      <c r="G12" s="13"/>
      <c r="I12" s="13"/>
      <c r="J12" s="13"/>
      <c r="L12" s="13"/>
      <c r="M12" s="13"/>
      <c r="N12" s="13"/>
      <c r="O12" s="13"/>
    </row>
    <row r="13" spans="1:20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20" ht="15" customHeight="1">
      <c r="A14" s="13"/>
      <c r="B14" s="13"/>
      <c r="C14" s="13"/>
      <c r="E14" s="5"/>
      <c r="F14" s="5"/>
      <c r="G14" s="13"/>
      <c r="H14" s="13"/>
      <c r="I14" s="13"/>
      <c r="J14" s="13"/>
      <c r="K14" s="13"/>
    </row>
    <row r="15" spans="1:20" ht="15" customHeight="1">
      <c r="A15" s="13"/>
      <c r="B15" s="13"/>
      <c r="C15" s="13"/>
    </row>
    <row r="16" spans="1:20" ht="15" customHeight="1"/>
    <row r="17" spans="2:2" ht="15" customHeight="1"/>
    <row r="18" spans="2:2">
      <c r="B18" s="13"/>
    </row>
    <row r="19" spans="2:2">
      <c r="B19" s="13"/>
    </row>
    <row r="20" spans="2:2" ht="15" customHeight="1"/>
  </sheetData>
  <mergeCells count="4">
    <mergeCell ref="H4:I4"/>
    <mergeCell ref="J4:K4"/>
    <mergeCell ref="M4:N4"/>
    <mergeCell ref="F9:F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4"/>
  <sheetViews>
    <sheetView workbookViewId="0">
      <selection activeCell="K10" sqref="K10"/>
    </sheetView>
  </sheetViews>
  <sheetFormatPr defaultRowHeight="15"/>
  <cols>
    <col min="1" max="1" width="10.28515625" style="13" bestFit="1" customWidth="1"/>
    <col min="2" max="2" width="7.85546875" style="13" bestFit="1" customWidth="1"/>
    <col min="3" max="3" width="9.140625" style="13" bestFit="1" customWidth="1"/>
    <col min="4" max="4" width="8" style="13" bestFit="1" customWidth="1"/>
    <col min="5" max="5" width="9.140625" style="13"/>
    <col min="6" max="6" width="9" style="13" bestFit="1" customWidth="1"/>
    <col min="7" max="7" width="8" style="13" bestFit="1" customWidth="1"/>
    <col min="8" max="8" width="5.5703125" style="13" bestFit="1" customWidth="1"/>
    <col min="9" max="9" width="13.7109375" style="13" customWidth="1"/>
    <col min="10" max="16384" width="9.140625" style="13"/>
  </cols>
  <sheetData>
    <row r="1" spans="1:22">
      <c r="A1" s="8"/>
      <c r="B1" s="8"/>
      <c r="C1" s="8"/>
      <c r="D1" s="8"/>
      <c r="E1" s="8"/>
      <c r="F1" s="8"/>
      <c r="G1" s="8"/>
      <c r="H1" s="8"/>
      <c r="O1" s="13" t="s">
        <v>43</v>
      </c>
      <c r="P1" s="13" t="s">
        <v>42</v>
      </c>
    </row>
    <row r="2" spans="1:22">
      <c r="A2" s="8" t="s">
        <v>8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10</v>
      </c>
      <c r="G2" s="8" t="s">
        <v>11</v>
      </c>
      <c r="H2" s="8"/>
      <c r="I2" s="13" t="s">
        <v>37</v>
      </c>
      <c r="J2" s="8" t="s">
        <v>9</v>
      </c>
      <c r="K2" s="8" t="s">
        <v>38</v>
      </c>
      <c r="L2" s="8" t="s">
        <v>39</v>
      </c>
      <c r="M2" s="8" t="s">
        <v>40</v>
      </c>
      <c r="N2" s="8" t="s">
        <v>12</v>
      </c>
      <c r="O2" s="8" t="s">
        <v>41</v>
      </c>
      <c r="P2" s="8" t="s">
        <v>13</v>
      </c>
    </row>
    <row r="3" spans="1:22">
      <c r="A3" s="8" t="s">
        <v>14</v>
      </c>
      <c r="B3" s="8" t="s">
        <v>15</v>
      </c>
      <c r="C3" s="8" t="s">
        <v>16</v>
      </c>
      <c r="D3" s="8" t="s">
        <v>16</v>
      </c>
      <c r="E3" s="8" t="s">
        <v>15</v>
      </c>
      <c r="F3" s="8" t="s">
        <v>15</v>
      </c>
      <c r="G3" s="8" t="s">
        <v>15</v>
      </c>
      <c r="H3" s="8"/>
      <c r="I3" s="8" t="s">
        <v>15</v>
      </c>
      <c r="J3" s="8" t="s">
        <v>15</v>
      </c>
      <c r="K3" s="8" t="s">
        <v>15</v>
      </c>
      <c r="L3" s="8" t="s">
        <v>15</v>
      </c>
      <c r="M3" s="8" t="s">
        <v>15</v>
      </c>
      <c r="N3" s="8" t="s">
        <v>15</v>
      </c>
      <c r="O3" s="8" t="s">
        <v>15</v>
      </c>
      <c r="P3" s="8" t="s">
        <v>15</v>
      </c>
      <c r="S3" s="13" t="s">
        <v>62</v>
      </c>
      <c r="T3" s="13" t="s">
        <v>63</v>
      </c>
      <c r="U3" s="13" t="s">
        <v>64</v>
      </c>
    </row>
    <row r="4" spans="1:22">
      <c r="A4" s="8">
        <v>10</v>
      </c>
      <c r="B4" s="8">
        <v>0.81810000000000005</v>
      </c>
      <c r="C4" s="8">
        <v>4.2139999999999997E-2</v>
      </c>
      <c r="D4" s="8">
        <v>3.8699999999999998E-2</v>
      </c>
      <c r="E4" s="8">
        <v>2.75E-2</v>
      </c>
      <c r="F4" s="8">
        <v>2.6599999999999999E-2</v>
      </c>
      <c r="G4" s="8">
        <v>1</v>
      </c>
      <c r="H4" s="8"/>
      <c r="I4" s="13">
        <f>'Vertical Info.'!$H$6*('Vertical Chract.'!A4-'Vertical Chract.'!$A$9)</f>
        <v>1.0645</v>
      </c>
      <c r="J4" s="13">
        <f>'Vertical Info.'!$J$6*('Vertical Chract.'!A4-'Vertical Chract.'!$A$9)</f>
        <v>1.0524412092997009</v>
      </c>
      <c r="K4" s="8"/>
      <c r="M4" s="13">
        <f t="shared" ref="M4:M14" si="0">B4/C4</f>
        <v>19.413858566682489</v>
      </c>
      <c r="N4" s="13" t="e">
        <f t="shared" ref="N4:N14" si="1">J4/K4</f>
        <v>#DIV/0!</v>
      </c>
      <c r="O4" s="13">
        <f t="shared" ref="O4:P14" si="2">1/M4</f>
        <v>5.1509595403984837E-2</v>
      </c>
      <c r="P4" s="13" t="e">
        <f t="shared" si="2"/>
        <v>#DIV/0!</v>
      </c>
      <c r="S4" s="13">
        <f t="shared" ref="S4:S14" si="3">0.1035*((A4-((57.3*J4)/(PI()*3.6)))-(-4.313))</f>
        <v>0.92952085285598574</v>
      </c>
      <c r="T4" s="13">
        <f>J4^2/(PI()*'Vertical Info.'!$F$9*'Vertical Info.'!$E$6)</f>
        <v>-3.8903157261002442E-4</v>
      </c>
      <c r="V4" s="13">
        <f t="shared" ref="V4:V14" si="4">T4+U4</f>
        <v>-3.8903157261002442E-4</v>
      </c>
    </row>
    <row r="5" spans="1:22">
      <c r="A5" s="8">
        <v>8</v>
      </c>
      <c r="B5" s="8">
        <v>0.80530000000000002</v>
      </c>
      <c r="C5" s="8">
        <v>1.2919999999999999E-2</v>
      </c>
      <c r="D5" s="8">
        <v>6.5900000000000004E-3</v>
      </c>
      <c r="E5" s="8">
        <v>1.17E-2</v>
      </c>
      <c r="F5" s="8">
        <v>2.8000000000000001E-2</v>
      </c>
      <c r="G5" s="8">
        <v>1</v>
      </c>
      <c r="H5" s="8"/>
      <c r="I5" s="13">
        <f>'Vertical Info.'!$H$6*('Vertical Chract.'!A5-'Vertical Chract.'!$A$9)</f>
        <v>0.85160000000000002</v>
      </c>
      <c r="J5" s="13">
        <f>'Vertical Info.'!$J$6*('Vertical Chract.'!A5-'Vertical Chract.'!$A$9)</f>
        <v>0.84195296743976067</v>
      </c>
      <c r="K5" s="8"/>
      <c r="M5" s="13">
        <f t="shared" si="0"/>
        <v>62.329721362229108</v>
      </c>
      <c r="N5" s="13" t="e">
        <f t="shared" si="1"/>
        <v>#DIV/0!</v>
      </c>
      <c r="O5" s="13">
        <f t="shared" si="2"/>
        <v>1.6043710418477585E-2</v>
      </c>
      <c r="P5" s="13" t="e">
        <f t="shared" si="2"/>
        <v>#DIV/0!</v>
      </c>
      <c r="S5" s="13">
        <f t="shared" si="3"/>
        <v>0.83289578228478844</v>
      </c>
      <c r="T5" s="13">
        <f>J5^2/(PI()*'Vertical Info.'!$F$9*'Vertical Info.'!$E$6)</f>
        <v>-2.4898020647041557E-4</v>
      </c>
      <c r="V5" s="13">
        <f t="shared" si="4"/>
        <v>-2.4898020647041557E-4</v>
      </c>
    </row>
    <row r="6" spans="1:22">
      <c r="A6" s="8">
        <v>6</v>
      </c>
      <c r="B6" s="8">
        <v>0.63870000000000005</v>
      </c>
      <c r="C6" s="8">
        <v>4.5100000000000001E-3</v>
      </c>
      <c r="D6" s="8">
        <v>-2.6099999999999999E-3</v>
      </c>
      <c r="E6" s="8">
        <v>3.5000000000000001E-3</v>
      </c>
      <c r="F6" s="8">
        <v>4.5199999999999997E-2</v>
      </c>
      <c r="G6" s="8">
        <v>1</v>
      </c>
      <c r="H6" s="8"/>
      <c r="I6" s="13">
        <f>'Vertical Info.'!$H$6*('Vertical Chract.'!A6-'Vertical Chract.'!$A$9)</f>
        <v>0.63870000000000005</v>
      </c>
      <c r="J6" s="13">
        <f>'Vertical Info.'!$J$6*('Vertical Chract.'!A6-'Vertical Chract.'!$A$9)</f>
        <v>0.63146472557982047</v>
      </c>
      <c r="K6" s="8"/>
      <c r="M6" s="13">
        <f t="shared" si="0"/>
        <v>141.61862527716187</v>
      </c>
      <c r="N6" s="13" t="e">
        <f t="shared" si="1"/>
        <v>#DIV/0!</v>
      </c>
      <c r="O6" s="13">
        <f t="shared" si="2"/>
        <v>7.0612180992641301E-3</v>
      </c>
      <c r="P6" s="13" t="e">
        <f t="shared" si="2"/>
        <v>#DIV/0!</v>
      </c>
      <c r="S6" s="13">
        <f t="shared" si="3"/>
        <v>0.73627071171359137</v>
      </c>
      <c r="T6" s="13">
        <f>J6^2/(PI()*'Vertical Info.'!$F$9*'Vertical Info.'!$E$6)</f>
        <v>-1.4005136613960874E-4</v>
      </c>
      <c r="V6" s="13">
        <f t="shared" si="4"/>
        <v>-1.4005136613960874E-4</v>
      </c>
    </row>
    <row r="7" spans="1:22">
      <c r="A7" s="8">
        <v>4</v>
      </c>
      <c r="B7" s="8">
        <v>0.47089999999999999</v>
      </c>
      <c r="C7" s="8">
        <v>1.4499999999999999E-3</v>
      </c>
      <c r="D7" s="8">
        <v>-4.9300000000000004E-3</v>
      </c>
      <c r="E7" s="8">
        <v>-5.1999999999999998E-3</v>
      </c>
      <c r="F7" s="8">
        <v>0.23180000000000001</v>
      </c>
      <c r="G7" s="8">
        <v>1</v>
      </c>
      <c r="H7" s="8"/>
      <c r="I7" s="13">
        <f>'Vertical Info.'!$H$6*('Vertical Chract.'!A7-'Vertical Chract.'!$A$9)</f>
        <v>0.42580000000000001</v>
      </c>
      <c r="J7" s="13">
        <f>'Vertical Info.'!$J$6*('Vertical Chract.'!A7-'Vertical Chract.'!$A$9)</f>
        <v>0.42097648371988033</v>
      </c>
      <c r="K7" s="8"/>
      <c r="M7" s="13">
        <f t="shared" si="0"/>
        <v>324.75862068965517</v>
      </c>
      <c r="N7" s="13" t="e">
        <f t="shared" si="1"/>
        <v>#DIV/0!</v>
      </c>
      <c r="O7" s="13">
        <f t="shared" si="2"/>
        <v>3.0792100233595241E-3</v>
      </c>
      <c r="P7" s="13" t="e">
        <f t="shared" si="2"/>
        <v>#DIV/0!</v>
      </c>
      <c r="S7" s="13">
        <f t="shared" si="3"/>
        <v>0.63964564114239419</v>
      </c>
      <c r="T7" s="13">
        <f>J7^2/(PI()*'Vertical Info.'!$F$9*'Vertical Info.'!$E$6)</f>
        <v>-6.2245051617603893E-5</v>
      </c>
      <c r="V7" s="13">
        <f t="shared" si="4"/>
        <v>-6.2245051617603893E-5</v>
      </c>
    </row>
    <row r="8" spans="1:22">
      <c r="A8" s="8">
        <v>2</v>
      </c>
      <c r="B8" s="8">
        <v>0.28889999999999999</v>
      </c>
      <c r="C8" s="8">
        <v>7.6999999999999996E-4</v>
      </c>
      <c r="D8" s="8">
        <v>-3.9100000000000003E-3</v>
      </c>
      <c r="E8" s="8">
        <v>-1.14E-2</v>
      </c>
      <c r="F8" s="8">
        <v>0.68710000000000004</v>
      </c>
      <c r="G8" s="8">
        <v>1</v>
      </c>
      <c r="H8" s="8"/>
      <c r="I8" s="13">
        <f>'Vertical Info.'!$H$6*('Vertical Chract.'!A8-'Vertical Chract.'!$A$9)</f>
        <v>0.21290000000000001</v>
      </c>
      <c r="J8" s="13">
        <f>'Vertical Info.'!$J$6*('Vertical Chract.'!A8-'Vertical Chract.'!$A$9)</f>
        <v>0.21048824185994017</v>
      </c>
      <c r="K8" s="8"/>
      <c r="M8" s="13">
        <f t="shared" si="0"/>
        <v>375.19480519480521</v>
      </c>
      <c r="N8" s="13" t="e">
        <f t="shared" si="1"/>
        <v>#DIV/0!</v>
      </c>
      <c r="O8" s="13">
        <f t="shared" si="2"/>
        <v>2.6652821045344407E-3</v>
      </c>
      <c r="P8" s="13" t="e">
        <f t="shared" si="2"/>
        <v>#DIV/0!</v>
      </c>
      <c r="S8" s="13">
        <f t="shared" si="3"/>
        <v>0.54302057057119713</v>
      </c>
      <c r="T8" s="13">
        <f>J8^2/(PI()*'Vertical Info.'!$F$9*'Vertical Info.'!$E$6)</f>
        <v>-1.5561262904400973E-5</v>
      </c>
      <c r="V8" s="13">
        <f t="shared" si="4"/>
        <v>-1.5561262904400973E-5</v>
      </c>
    </row>
    <row r="9" spans="1:22">
      <c r="A9" s="8">
        <v>0</v>
      </c>
      <c r="B9" s="8">
        <v>0</v>
      </c>
      <c r="C9" s="8">
        <v>7.5000000000000002E-4</v>
      </c>
      <c r="D9" s="8">
        <v>-3.2699999999999999E-3</v>
      </c>
      <c r="E9" s="8">
        <v>0</v>
      </c>
      <c r="F9" s="8">
        <v>0.94589999999999996</v>
      </c>
      <c r="G9" s="8">
        <v>0.94579999999999997</v>
      </c>
      <c r="H9" s="8"/>
      <c r="I9" s="13">
        <f>'Vertical Info.'!$H$6*('Vertical Chract.'!A9-'Vertical Chract.'!$A$9)</f>
        <v>0</v>
      </c>
      <c r="J9" s="13">
        <f>'Vertical Info.'!$J$6*('Vertical Chract.'!A9-'Vertical Chract.'!$A$9)</f>
        <v>0</v>
      </c>
      <c r="K9" s="8">
        <v>1.4E-3</v>
      </c>
      <c r="M9" s="13">
        <f t="shared" si="0"/>
        <v>0</v>
      </c>
      <c r="N9" s="13">
        <f t="shared" si="1"/>
        <v>0</v>
      </c>
      <c r="O9" s="13" t="e">
        <f t="shared" si="2"/>
        <v>#DIV/0!</v>
      </c>
      <c r="P9" s="13" t="e">
        <f t="shared" si="2"/>
        <v>#DIV/0!</v>
      </c>
      <c r="S9" s="13">
        <f t="shared" si="3"/>
        <v>0.44639549999999995</v>
      </c>
      <c r="T9" s="13">
        <f>J9^2/(PI()*'Vertical Info.'!$F$9*'Vertical Info.'!$E$6)</f>
        <v>0</v>
      </c>
      <c r="U9" s="13">
        <v>1.4E-3</v>
      </c>
      <c r="V9" s="13">
        <f t="shared" si="4"/>
        <v>1.4E-3</v>
      </c>
    </row>
    <row r="10" spans="1:22">
      <c r="A10" s="8">
        <v>-2</v>
      </c>
      <c r="B10" s="8">
        <v>-0.28889999999999999</v>
      </c>
      <c r="C10" s="8">
        <v>7.9000000000000001E-4</v>
      </c>
      <c r="D10" s="8">
        <v>-3.8899999999999998E-3</v>
      </c>
      <c r="E10" s="8">
        <v>1.15E-2</v>
      </c>
      <c r="F10" s="8">
        <v>1</v>
      </c>
      <c r="G10" s="8">
        <v>0.68759999999999999</v>
      </c>
      <c r="H10" s="8"/>
      <c r="I10" s="13">
        <f>'Vertical Info.'!$H$6*('Vertical Chract.'!A10-'Vertical Chract.'!$A$9)</f>
        <v>-0.21290000000000001</v>
      </c>
      <c r="J10" s="13">
        <f>'Vertical Info.'!$J$6*('Vertical Chract.'!A10-'Vertical Chract.'!$A$9)</f>
        <v>-0.21048824185994017</v>
      </c>
      <c r="K10" s="8"/>
      <c r="M10" s="13">
        <f t="shared" si="0"/>
        <v>-365.69620253164555</v>
      </c>
      <c r="N10" s="13" t="e">
        <f t="shared" si="1"/>
        <v>#DIV/0!</v>
      </c>
      <c r="O10" s="13">
        <f t="shared" si="2"/>
        <v>-2.7345102111457254E-3</v>
      </c>
      <c r="P10" s="13" t="e">
        <f t="shared" si="2"/>
        <v>#DIV/0!</v>
      </c>
      <c r="S10" s="13">
        <f t="shared" si="3"/>
        <v>0.34977042942880282</v>
      </c>
      <c r="T10" s="13">
        <f>J10^2/(PI()*'Vertical Info.'!$F$9*'Vertical Info.'!$E$6)</f>
        <v>-1.5561262904400973E-5</v>
      </c>
      <c r="V10" s="13">
        <f t="shared" si="4"/>
        <v>-1.5561262904400973E-5</v>
      </c>
    </row>
    <row r="11" spans="1:22">
      <c r="A11" s="8">
        <v>-4</v>
      </c>
      <c r="B11" s="8">
        <v>-0.47110000000000002</v>
      </c>
      <c r="C11" s="8">
        <v>1.5E-3</v>
      </c>
      <c r="D11" s="8">
        <v>-4.8799999999999998E-3</v>
      </c>
      <c r="E11" s="8">
        <v>5.1999999999999998E-3</v>
      </c>
      <c r="F11" s="8">
        <v>1</v>
      </c>
      <c r="G11" s="8">
        <v>0.23219999999999999</v>
      </c>
      <c r="H11" s="8"/>
      <c r="I11" s="13">
        <f>'Vertical Info.'!$H$6*('Vertical Chract.'!A11-'Vertical Chract.'!$A$9)</f>
        <v>-0.42580000000000001</v>
      </c>
      <c r="J11" s="13">
        <f>'Vertical Info.'!$J$6*('Vertical Chract.'!A11-'Vertical Chract.'!$A$9)</f>
        <v>-0.42097648371988033</v>
      </c>
      <c r="K11" s="8"/>
      <c r="M11" s="13">
        <f t="shared" si="0"/>
        <v>-314.06666666666666</v>
      </c>
      <c r="N11" s="13" t="e">
        <f t="shared" si="1"/>
        <v>#DIV/0!</v>
      </c>
      <c r="O11" s="13">
        <f t="shared" si="2"/>
        <v>-3.1840373593716833E-3</v>
      </c>
      <c r="P11" s="13" t="e">
        <f t="shared" si="2"/>
        <v>#DIV/0!</v>
      </c>
      <c r="S11" s="13">
        <f t="shared" si="3"/>
        <v>0.25314535885760564</v>
      </c>
      <c r="T11" s="13">
        <f>J11^2/(PI()*'Vertical Info.'!$F$9*'Vertical Info.'!$E$6)</f>
        <v>-6.2245051617603893E-5</v>
      </c>
      <c r="V11" s="13">
        <f t="shared" si="4"/>
        <v>-6.2245051617603893E-5</v>
      </c>
    </row>
    <row r="12" spans="1:22">
      <c r="A12" s="8">
        <v>-6</v>
      </c>
      <c r="B12" s="8">
        <v>-0.63890000000000002</v>
      </c>
      <c r="C12" s="8">
        <v>4.5999999999999999E-3</v>
      </c>
      <c r="D12" s="8">
        <v>-2.5200000000000001E-3</v>
      </c>
      <c r="E12" s="8">
        <v>-3.3999999999999998E-3</v>
      </c>
      <c r="F12" s="8">
        <v>1</v>
      </c>
      <c r="G12" s="8">
        <v>4.53E-2</v>
      </c>
      <c r="H12" s="8"/>
      <c r="I12" s="13">
        <f>'Vertical Info.'!$H$6*('Vertical Chract.'!A12-'Vertical Chract.'!$A$9)</f>
        <v>-0.63870000000000005</v>
      </c>
      <c r="J12" s="13">
        <f>'Vertical Info.'!$J$6*('Vertical Chract.'!A12-'Vertical Chract.'!$A$9)</f>
        <v>-0.63146472557982047</v>
      </c>
      <c r="K12" s="8"/>
      <c r="M12" s="13">
        <f t="shared" si="0"/>
        <v>-138.89130434782609</v>
      </c>
      <c r="N12" s="13" t="e">
        <f t="shared" si="1"/>
        <v>#DIV/0!</v>
      </c>
      <c r="O12" s="13">
        <f t="shared" si="2"/>
        <v>-7.1998747847863516E-3</v>
      </c>
      <c r="P12" s="13" t="e">
        <f t="shared" si="2"/>
        <v>#DIV/0!</v>
      </c>
      <c r="S12" s="13">
        <f t="shared" si="3"/>
        <v>0.15652028828640852</v>
      </c>
      <c r="T12" s="13">
        <f>J12^2/(PI()*'Vertical Info.'!$F$9*'Vertical Info.'!$E$6)</f>
        <v>-1.4005136613960874E-4</v>
      </c>
      <c r="V12" s="13">
        <f t="shared" si="4"/>
        <v>-1.4005136613960874E-4</v>
      </c>
    </row>
    <row r="13" spans="1:22">
      <c r="A13" s="8">
        <v>-8</v>
      </c>
      <c r="B13" s="8">
        <v>-0.80559999999999998</v>
      </c>
      <c r="C13" s="8">
        <v>1.3010000000000001E-2</v>
      </c>
      <c r="D13" s="8">
        <v>6.6800000000000002E-3</v>
      </c>
      <c r="E13" s="8">
        <v>-1.17E-2</v>
      </c>
      <c r="F13" s="8">
        <v>1</v>
      </c>
      <c r="G13" s="8">
        <v>2.8000000000000001E-2</v>
      </c>
      <c r="H13" s="8"/>
      <c r="I13" s="13">
        <f>'Vertical Info.'!$H$6*('Vertical Chract.'!A13-'Vertical Chract.'!$A$9)</f>
        <v>-0.85160000000000002</v>
      </c>
      <c r="J13" s="13">
        <f>'Vertical Info.'!$J$6*('Vertical Chract.'!A13-'Vertical Chract.'!$A$9)</f>
        <v>-0.84195296743976067</v>
      </c>
      <c r="M13" s="13">
        <f t="shared" si="0"/>
        <v>-61.921598770176786</v>
      </c>
      <c r="N13" s="13" t="e">
        <f t="shared" si="1"/>
        <v>#DIV/0!</v>
      </c>
      <c r="O13" s="13">
        <f t="shared" si="2"/>
        <v>-1.6149453823237341E-2</v>
      </c>
      <c r="P13" s="13" t="e">
        <f t="shared" si="2"/>
        <v>#DIV/0!</v>
      </c>
      <c r="S13" s="13">
        <f t="shared" si="3"/>
        <v>5.9895217715211384E-2</v>
      </c>
      <c r="T13" s="13">
        <f>J13^2/(PI()*'Vertical Info.'!$F$9*'Vertical Info.'!$E$6)</f>
        <v>-2.4898020647041557E-4</v>
      </c>
      <c r="V13" s="13">
        <f t="shared" si="4"/>
        <v>-2.4898020647041557E-4</v>
      </c>
    </row>
    <row r="14" spans="1:22">
      <c r="A14" s="8">
        <v>-10</v>
      </c>
      <c r="B14" s="8">
        <v>-0.87980000000000003</v>
      </c>
      <c r="C14" s="8">
        <v>5.4530000000000002E-2</v>
      </c>
      <c r="D14" s="8">
        <v>5.1020000000000003E-2</v>
      </c>
      <c r="E14" s="8">
        <v>-2.1399999999999999E-2</v>
      </c>
      <c r="F14" s="8">
        <v>1</v>
      </c>
      <c r="G14" s="8">
        <v>2.64E-2</v>
      </c>
      <c r="H14" s="8"/>
      <c r="I14" s="13">
        <f>'Vertical Info.'!$H$6*('Vertical Chract.'!A14-'Vertical Chract.'!$A$9)</f>
        <v>-1.0645</v>
      </c>
      <c r="J14" s="13">
        <f>'Vertical Info.'!$J$6*('Vertical Chract.'!A14-'Vertical Chract.'!$A$9)</f>
        <v>-1.0524412092997009</v>
      </c>
      <c r="M14" s="13">
        <f t="shared" si="0"/>
        <v>-16.134238034109664</v>
      </c>
      <c r="N14" s="13" t="e">
        <f t="shared" si="1"/>
        <v>#DIV/0!</v>
      </c>
      <c r="O14" s="13">
        <f t="shared" si="2"/>
        <v>-6.1979995453512161E-2</v>
      </c>
      <c r="P14" s="13" t="e">
        <f t="shared" si="2"/>
        <v>#DIV/0!</v>
      </c>
      <c r="S14" s="13">
        <f t="shared" si="3"/>
        <v>-3.6729852855985762E-2</v>
      </c>
      <c r="T14" s="13">
        <f>J14^2/(PI()*'Vertical Info.'!$F$9*'Vertical Info.'!$E$6)</f>
        <v>-3.8903157261002442E-4</v>
      </c>
      <c r="V14" s="13">
        <f t="shared" si="4"/>
        <v>-3.8903157261002442E-4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>
      <selection activeCell="J20" sqref="J20"/>
    </sheetView>
  </sheetViews>
  <sheetFormatPr defaultRowHeight="15"/>
  <cols>
    <col min="1" max="1" width="11.140625" bestFit="1" customWidth="1"/>
  </cols>
  <sheetData>
    <row r="1" spans="1:14">
      <c r="A1" s="32" t="s">
        <v>115</v>
      </c>
      <c r="B1" s="32">
        <v>7.5</v>
      </c>
      <c r="C1" s="32"/>
      <c r="D1" s="34" t="s">
        <v>0</v>
      </c>
      <c r="E1" s="34" t="s">
        <v>101</v>
      </c>
      <c r="F1" s="34" t="s">
        <v>102</v>
      </c>
      <c r="G1" s="33" t="s">
        <v>103</v>
      </c>
      <c r="H1" s="33" t="s">
        <v>118</v>
      </c>
      <c r="I1" s="39" t="s">
        <v>119</v>
      </c>
      <c r="J1" s="39" t="s">
        <v>117</v>
      </c>
      <c r="L1" s="34" t="s">
        <v>108</v>
      </c>
      <c r="M1" s="33" t="s">
        <v>109</v>
      </c>
      <c r="N1" s="39" t="s">
        <v>114</v>
      </c>
    </row>
    <row r="2" spans="1:14">
      <c r="A2" s="32" t="s">
        <v>116</v>
      </c>
      <c r="B2">
        <v>5.5</v>
      </c>
      <c r="C2" s="32"/>
      <c r="D2" s="35">
        <v>70</v>
      </c>
      <c r="E2" s="34">
        <v>5.7658569467072081</v>
      </c>
      <c r="F2" s="34">
        <f>E2/$B$1</f>
        <v>0.76878092622762773</v>
      </c>
      <c r="G2" s="34" t="e">
        <f>ACOS(1/F2)*180/PI()</f>
        <v>#NUM!</v>
      </c>
      <c r="H2" s="34" t="e">
        <f t="shared" ref="H2:H13" si="0">(1/(0.5*$B$5*$B$4*$B$3))*($B$1/($B$6))*(F2/SQRT((F2^2)-1))</f>
        <v>#NUM!</v>
      </c>
      <c r="I2" s="34" t="e">
        <f>(1/(0.5*$B$5*$B$4*$B$3))*($B$2/($B$6))*(F2/SQRT((F2^2)-1))</f>
        <v>#NUM!</v>
      </c>
      <c r="J2">
        <f t="shared" ref="J2:J12" si="1">(D2^2)/($B$5*SQRT(4^2-1))</f>
        <v>39.322886795583067</v>
      </c>
      <c r="L2" s="34">
        <v>4</v>
      </c>
      <c r="M2" s="34">
        <f t="shared" ref="M2:M14" si="2">(1.44*$B$1^2)/($B$3*$B$4*$B$5*$B$6*(L2-($B$8-0.025*($B$1-$B$7))))</f>
        <v>52.651255072558818</v>
      </c>
      <c r="N2" s="34">
        <f>(1.69*$B$2^2)/($B$3*$B$4*$B$5*$B$6*($B$8+0.4*($B$2-$B$9)))</f>
        <v>85.338214306275873</v>
      </c>
    </row>
    <row r="3" spans="1:14">
      <c r="A3" s="32" t="s">
        <v>9</v>
      </c>
      <c r="B3" s="32">
        <v>1</v>
      </c>
      <c r="C3" s="32"/>
      <c r="D3" s="36">
        <v>75</v>
      </c>
      <c r="E3" s="34">
        <v>6.618968433720009</v>
      </c>
      <c r="F3" s="34">
        <f t="shared" ref="F3:F12" si="3">E3/$B$1</f>
        <v>0.88252912449600118</v>
      </c>
      <c r="G3" s="34" t="e">
        <f t="shared" ref="G3:G12" si="4">ACOS(1/F3)*180/PI()</f>
        <v>#NUM!</v>
      </c>
      <c r="H3" s="34" t="e">
        <f t="shared" si="0"/>
        <v>#NUM!</v>
      </c>
      <c r="I3" s="34" t="e">
        <f t="shared" ref="I3:I13" si="5">(1/(0.5*$B$5*$B$4*$B$3))*($B$2/($B$6))*(F3/SQRT((F3^2)-1))</f>
        <v>#NUM!</v>
      </c>
      <c r="J3" s="32">
        <f t="shared" si="1"/>
        <v>45.141069025541782</v>
      </c>
      <c r="L3" s="34">
        <v>4.5</v>
      </c>
      <c r="M3" s="34">
        <f t="shared" si="2"/>
        <v>46.855954616501137</v>
      </c>
      <c r="N3" s="34"/>
    </row>
    <row r="4" spans="1:14">
      <c r="A4" s="32" t="s">
        <v>104</v>
      </c>
      <c r="B4" s="32">
        <v>2.2878199999999999E-3</v>
      </c>
      <c r="C4" s="32"/>
      <c r="D4" s="36">
        <v>80</v>
      </c>
      <c r="E4" s="34">
        <v>7.53091519569921</v>
      </c>
      <c r="F4" s="34">
        <f t="shared" si="3"/>
        <v>1.004122026093228</v>
      </c>
      <c r="G4" s="34">
        <f t="shared" si="4"/>
        <v>5.193360044278549</v>
      </c>
      <c r="H4" s="34">
        <f t="shared" si="0"/>
        <v>435.45456833590146</v>
      </c>
      <c r="I4" s="34">
        <f t="shared" si="5"/>
        <v>319.33335011299442</v>
      </c>
      <c r="J4" s="32">
        <f t="shared" si="1"/>
        <v>51.360505202394208</v>
      </c>
      <c r="L4" s="34">
        <v>5</v>
      </c>
      <c r="M4" s="34">
        <f t="shared" si="2"/>
        <v>42.209926587953348</v>
      </c>
      <c r="N4" s="34"/>
    </row>
    <row r="5" spans="1:14">
      <c r="A5" s="32" t="s">
        <v>105</v>
      </c>
      <c r="B5" s="32">
        <v>32.173999999999999</v>
      </c>
      <c r="C5" s="32"/>
      <c r="D5" s="36">
        <v>85</v>
      </c>
      <c r="E5" s="34">
        <v>8.5016972326448119</v>
      </c>
      <c r="F5" s="34">
        <f t="shared" si="3"/>
        <v>1.1335596310193083</v>
      </c>
      <c r="G5" s="34">
        <f t="shared" si="4"/>
        <v>28.093926074554695</v>
      </c>
      <c r="H5" s="34">
        <f t="shared" si="0"/>
        <v>83.700524481362649</v>
      </c>
      <c r="I5" s="34">
        <f t="shared" si="5"/>
        <v>61.380384619665953</v>
      </c>
      <c r="J5" s="32">
        <f t="shared" si="1"/>
        <v>57.981195326140337</v>
      </c>
      <c r="L5" s="34">
        <v>5.5</v>
      </c>
      <c r="M5" s="34">
        <f t="shared" si="2"/>
        <v>38.402141102059467</v>
      </c>
      <c r="N5" s="34"/>
    </row>
    <row r="6" spans="1:14">
      <c r="A6" s="32" t="s">
        <v>112</v>
      </c>
      <c r="B6" s="32">
        <v>5.17</v>
      </c>
      <c r="C6" s="32"/>
      <c r="D6" s="36">
        <v>90</v>
      </c>
      <c r="E6" s="34">
        <v>9.5313145445568122</v>
      </c>
      <c r="F6" s="34">
        <f t="shared" si="3"/>
        <v>1.2708419392742416</v>
      </c>
      <c r="G6" s="34">
        <f t="shared" si="4"/>
        <v>38.10511653920306</v>
      </c>
      <c r="H6" s="34">
        <f t="shared" si="0"/>
        <v>63.87250283332628</v>
      </c>
      <c r="I6" s="34">
        <f t="shared" si="5"/>
        <v>46.839835411105945</v>
      </c>
      <c r="J6" s="32">
        <f t="shared" si="1"/>
        <v>65.003139396780171</v>
      </c>
      <c r="L6" s="34">
        <v>6</v>
      </c>
      <c r="M6" s="34">
        <f t="shared" si="2"/>
        <v>35.224514294342214</v>
      </c>
      <c r="N6" s="34"/>
    </row>
    <row r="7" spans="1:14">
      <c r="A7" s="32" t="s">
        <v>110</v>
      </c>
      <c r="B7" s="32">
        <v>1.55</v>
      </c>
      <c r="C7" s="32"/>
      <c r="D7" s="36">
        <v>95</v>
      </c>
      <c r="E7" s="34">
        <v>10.619767131435214</v>
      </c>
      <c r="F7" s="34">
        <f t="shared" si="3"/>
        <v>1.4159689508580287</v>
      </c>
      <c r="G7" s="34">
        <f t="shared" si="4"/>
        <v>45.07098609875564</v>
      </c>
      <c r="H7" s="34">
        <f t="shared" si="0"/>
        <v>55.673869207736999</v>
      </c>
      <c r="I7" s="34">
        <f t="shared" si="5"/>
        <v>40.827504085673802</v>
      </c>
      <c r="J7" s="32">
        <f t="shared" si="1"/>
        <v>72.426337414313707</v>
      </c>
      <c r="L7" s="34">
        <v>6.5</v>
      </c>
      <c r="M7" s="34">
        <f t="shared" si="2"/>
        <v>32.532571396695516</v>
      </c>
      <c r="N7" s="34"/>
    </row>
    <row r="8" spans="1:14">
      <c r="A8" s="32" t="s">
        <v>111</v>
      </c>
      <c r="B8" s="32">
        <v>0.106168</v>
      </c>
      <c r="C8" s="32"/>
      <c r="D8" s="36">
        <v>100</v>
      </c>
      <c r="E8" s="34">
        <v>11.767054993280016</v>
      </c>
      <c r="F8" s="34">
        <f t="shared" si="3"/>
        <v>1.5689406657706688</v>
      </c>
      <c r="G8" s="34">
        <f t="shared" si="4"/>
        <v>50.403811377261583</v>
      </c>
      <c r="H8" s="34">
        <f t="shared" si="0"/>
        <v>51.152845907915875</v>
      </c>
      <c r="I8" s="34">
        <f t="shared" si="5"/>
        <v>37.512086999138312</v>
      </c>
      <c r="J8" s="32">
        <f t="shared" si="1"/>
        <v>80.250789378740947</v>
      </c>
      <c r="L8" s="34">
        <v>7</v>
      </c>
      <c r="M8" s="34">
        <f t="shared" si="2"/>
        <v>30.222866561402476</v>
      </c>
      <c r="N8" s="34"/>
    </row>
    <row r="9" spans="1:14">
      <c r="A9" s="32" t="s">
        <v>113</v>
      </c>
      <c r="B9" s="32">
        <v>1.83</v>
      </c>
      <c r="C9" s="32"/>
      <c r="D9" s="36">
        <v>105</v>
      </c>
      <c r="E9" s="34">
        <v>12.973178130091217</v>
      </c>
      <c r="F9" s="34">
        <f t="shared" si="3"/>
        <v>1.7297570840121623</v>
      </c>
      <c r="G9" s="34">
        <f t="shared" si="4"/>
        <v>54.681869075176181</v>
      </c>
      <c r="H9" s="34">
        <f t="shared" si="0"/>
        <v>48.306743732227964</v>
      </c>
      <c r="I9" s="34">
        <f t="shared" si="5"/>
        <v>35.424945403633849</v>
      </c>
      <c r="J9" s="32">
        <f t="shared" si="1"/>
        <v>88.476495290061891</v>
      </c>
      <c r="L9" s="34">
        <v>7.5</v>
      </c>
      <c r="M9" s="34">
        <f t="shared" si="2"/>
        <v>28.21938376456961</v>
      </c>
      <c r="N9" s="34"/>
    </row>
    <row r="10" spans="1:14">
      <c r="A10" s="32"/>
      <c r="B10" s="32"/>
      <c r="C10" s="32"/>
      <c r="D10" s="36">
        <v>110</v>
      </c>
      <c r="E10" s="34">
        <v>14.238136541868819</v>
      </c>
      <c r="F10" s="34">
        <f t="shared" si="3"/>
        <v>1.8984182055825092</v>
      </c>
      <c r="G10" s="34">
        <f t="shared" si="4"/>
        <v>58.213581214098483</v>
      </c>
      <c r="H10" s="34">
        <f t="shared" si="0"/>
        <v>46.370940017233302</v>
      </c>
      <c r="I10" s="34">
        <f t="shared" si="5"/>
        <v>34.005356012637762</v>
      </c>
      <c r="J10" s="32">
        <f t="shared" si="1"/>
        <v>97.103455148276552</v>
      </c>
      <c r="L10" s="34">
        <v>8</v>
      </c>
      <c r="M10" s="34">
        <f t="shared" si="2"/>
        <v>26.46501037026853</v>
      </c>
      <c r="N10" s="34"/>
    </row>
    <row r="11" spans="1:14">
      <c r="D11" s="38">
        <v>115</v>
      </c>
      <c r="E11" s="34">
        <v>15.561930228612821</v>
      </c>
      <c r="F11" s="34">
        <f t="shared" si="3"/>
        <v>2.0749240304817094</v>
      </c>
      <c r="G11" s="34">
        <f t="shared" si="4"/>
        <v>61.187466477741999</v>
      </c>
      <c r="H11" s="34">
        <f t="shared" si="0"/>
        <v>44.985227950282564</v>
      </c>
      <c r="I11" s="34">
        <f t="shared" si="5"/>
        <v>32.98916716354055</v>
      </c>
      <c r="J11" s="32">
        <f t="shared" si="1"/>
        <v>106.1316689533849</v>
      </c>
      <c r="L11" s="34">
        <v>8.5</v>
      </c>
      <c r="M11" s="34">
        <f t="shared" si="2"/>
        <v>24.916005024445187</v>
      </c>
      <c r="N11" s="34"/>
    </row>
    <row r="12" spans="1:14">
      <c r="D12" s="38">
        <v>120</v>
      </c>
      <c r="E12" s="34">
        <v>16.944559190323222</v>
      </c>
      <c r="F12" s="34">
        <f t="shared" si="3"/>
        <v>2.2592745587097629</v>
      </c>
      <c r="G12" s="34">
        <f t="shared" si="4"/>
        <v>63.728835666095712</v>
      </c>
      <c r="H12" s="34">
        <f t="shared" si="0"/>
        <v>43.956401346222712</v>
      </c>
      <c r="I12" s="34">
        <f t="shared" si="5"/>
        <v>32.234694320563328</v>
      </c>
      <c r="J12" s="32">
        <f t="shared" si="1"/>
        <v>115.56113670538697</v>
      </c>
      <c r="L12" s="34">
        <v>9</v>
      </c>
      <c r="M12" s="34">
        <f t="shared" si="2"/>
        <v>23.538300900532061</v>
      </c>
      <c r="N12" s="34"/>
    </row>
    <row r="13" spans="1:14">
      <c r="F13">
        <v>4</v>
      </c>
      <c r="G13" s="34">
        <f>ACOS(1/F13)*180/PI()</f>
        <v>75.522487814070075</v>
      </c>
      <c r="H13" s="34">
        <f t="shared" si="0"/>
        <v>40.7087875747456</v>
      </c>
      <c r="I13" s="34">
        <f t="shared" si="5"/>
        <v>29.853110888146777</v>
      </c>
      <c r="L13" s="34">
        <v>9.5</v>
      </c>
      <c r="M13" s="34">
        <f t="shared" si="2"/>
        <v>22.304971131894387</v>
      </c>
      <c r="N13" s="34"/>
    </row>
    <row r="14" spans="1:14">
      <c r="L14" s="34">
        <v>10</v>
      </c>
      <c r="M14" s="34">
        <f t="shared" si="2"/>
        <v>21.194451390462628</v>
      </c>
      <c r="N14" s="3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22"/>
  <sheetViews>
    <sheetView workbookViewId="0">
      <selection activeCell="P32" sqref="P32"/>
    </sheetView>
  </sheetViews>
  <sheetFormatPr defaultRowHeight="15"/>
  <sheetData>
    <row r="1" spans="1:16" s="32" customFormat="1">
      <c r="A1" s="42" t="s">
        <v>120</v>
      </c>
      <c r="B1" s="42"/>
      <c r="C1" s="42"/>
      <c r="D1" s="42"/>
      <c r="E1" s="42"/>
      <c r="F1" s="42"/>
      <c r="G1" s="42"/>
      <c r="H1" s="42"/>
      <c r="J1" s="42" t="s">
        <v>121</v>
      </c>
      <c r="K1" s="42"/>
      <c r="L1" s="42"/>
      <c r="M1" s="42"/>
    </row>
    <row r="2" spans="1:16">
      <c r="A2" s="34" t="s">
        <v>8</v>
      </c>
      <c r="B2" s="34" t="s">
        <v>9</v>
      </c>
      <c r="C2" s="34"/>
      <c r="D2" s="34" t="s">
        <v>8</v>
      </c>
      <c r="E2" s="34" t="s">
        <v>39</v>
      </c>
      <c r="F2" s="34"/>
      <c r="G2" s="34" t="s">
        <v>9</v>
      </c>
      <c r="H2" s="34" t="s">
        <v>38</v>
      </c>
      <c r="J2" s="34" t="s">
        <v>8</v>
      </c>
      <c r="K2" s="34" t="s">
        <v>9</v>
      </c>
      <c r="L2" s="34" t="s">
        <v>38</v>
      </c>
      <c r="M2" s="34" t="s">
        <v>39</v>
      </c>
      <c r="O2" s="34" t="s">
        <v>8</v>
      </c>
      <c r="P2" s="34" t="s">
        <v>9</v>
      </c>
    </row>
    <row r="3" spans="1:16">
      <c r="A3" s="34">
        <v>20.026599199464101</v>
      </c>
      <c r="B3" s="34">
        <v>1.28491791384615</v>
      </c>
      <c r="C3" s="34"/>
      <c r="D3" s="34">
        <v>20.441367338615301</v>
      </c>
      <c r="E3" s="34">
        <v>-6.5861482803942897E-2</v>
      </c>
      <c r="F3" s="34"/>
      <c r="G3" s="34">
        <v>1.3961865314025299</v>
      </c>
      <c r="H3" s="34">
        <v>1.99110562635294E-2</v>
      </c>
      <c r="J3" s="34">
        <v>20</v>
      </c>
      <c r="K3" s="34">
        <v>1.4515</v>
      </c>
      <c r="L3" s="34">
        <v>0.11532000000000001</v>
      </c>
      <c r="M3" s="34">
        <v>-3.7699999999999997E-2</v>
      </c>
      <c r="O3" s="34">
        <v>14</v>
      </c>
      <c r="P3" s="34">
        <v>1.5377256017505467</v>
      </c>
    </row>
    <row r="4" spans="1:16">
      <c r="A4" s="34">
        <v>18.339630723137301</v>
      </c>
      <c r="B4" s="34">
        <v>1.35040090608695</v>
      </c>
      <c r="C4" s="34"/>
      <c r="D4" s="34">
        <v>18.4903313610616</v>
      </c>
      <c r="E4" s="34">
        <v>-6.7260815859238002E-2</v>
      </c>
      <c r="F4" s="34"/>
      <c r="G4" s="34">
        <v>1.2929018412772799</v>
      </c>
      <c r="H4" s="34">
        <v>1.33798449317647E-2</v>
      </c>
      <c r="J4" s="34">
        <v>18</v>
      </c>
      <c r="K4" s="34">
        <v>1.4771000000000001</v>
      </c>
      <c r="L4" s="34">
        <v>8.7139999999999995E-2</v>
      </c>
      <c r="M4" s="34">
        <v>-3.2500000000000001E-2</v>
      </c>
      <c r="O4" s="34">
        <v>12</v>
      </c>
      <c r="P4" s="34">
        <v>1.4500256017505468</v>
      </c>
    </row>
    <row r="5" spans="1:16">
      <c r="A5" s="34">
        <v>16.164316588884802</v>
      </c>
      <c r="B5" s="34">
        <v>1.3934321648160499</v>
      </c>
      <c r="C5" s="34"/>
      <c r="D5" s="34">
        <v>16.2732390577223</v>
      </c>
      <c r="E5" s="34">
        <v>-6.2129927989822399E-2</v>
      </c>
      <c r="F5" s="34"/>
      <c r="G5" s="34">
        <v>1.1582635308856399</v>
      </c>
      <c r="H5" s="34">
        <v>1.0282185261176399E-2</v>
      </c>
      <c r="J5" s="34">
        <v>16</v>
      </c>
      <c r="K5" s="34">
        <v>1.5206999999999999</v>
      </c>
      <c r="L5" s="34">
        <v>5.858E-2</v>
      </c>
      <c r="M5" s="34">
        <v>-3.2500000000000001E-2</v>
      </c>
      <c r="O5" s="34">
        <v>10</v>
      </c>
      <c r="P5" s="34">
        <v>1.362325601750547</v>
      </c>
    </row>
    <row r="6" spans="1:16">
      <c r="A6" s="34">
        <v>14.2109777536895</v>
      </c>
      <c r="B6" s="34">
        <v>1.4214962164548399</v>
      </c>
      <c r="C6" s="34"/>
      <c r="D6" s="34">
        <v>14.322203080168601</v>
      </c>
      <c r="E6" s="34">
        <v>-5.8398526560887697E-2</v>
      </c>
      <c r="F6" s="34"/>
      <c r="G6" s="34">
        <v>0.98858218979950796</v>
      </c>
      <c r="H6" s="34">
        <v>8.8453122635294094E-3</v>
      </c>
      <c r="J6" s="34">
        <v>14</v>
      </c>
      <c r="K6" s="34">
        <v>1.5347</v>
      </c>
      <c r="L6" s="34">
        <v>3.6970000000000003E-2</v>
      </c>
      <c r="M6" s="34">
        <v>-3.9399999999999998E-2</v>
      </c>
      <c r="O6" s="34">
        <v>8</v>
      </c>
      <c r="P6" s="34">
        <v>1.2746256017505471</v>
      </c>
    </row>
    <row r="7" spans="1:16">
      <c r="A7" s="34">
        <v>12.346414439281199</v>
      </c>
      <c r="B7" s="34">
        <v>1.38220691331103</v>
      </c>
      <c r="C7" s="34"/>
      <c r="D7" s="34">
        <v>12.326824381650701</v>
      </c>
      <c r="E7" s="34">
        <v>-5.8864970912653101E-2</v>
      </c>
      <c r="F7" s="34"/>
      <c r="G7" s="34">
        <v>0.79123542585175699</v>
      </c>
      <c r="H7" s="34">
        <v>7.8936254494117696E-3</v>
      </c>
      <c r="J7" s="34">
        <v>12</v>
      </c>
      <c r="K7" s="34">
        <v>1.4914000000000001</v>
      </c>
      <c r="L7" s="34">
        <v>2.4879999999999999E-2</v>
      </c>
      <c r="M7" s="34">
        <v>-5.2400000000000002E-2</v>
      </c>
      <c r="O7" s="34">
        <v>6</v>
      </c>
      <c r="P7" s="34">
        <v>1.0675942013129103</v>
      </c>
    </row>
    <row r="8" spans="1:16">
      <c r="A8" s="34">
        <v>10.2599050234874</v>
      </c>
      <c r="B8" s="34">
        <v>1.28491791384615</v>
      </c>
      <c r="C8" s="34"/>
      <c r="D8" s="34">
        <v>10.1540747992756</v>
      </c>
      <c r="E8" s="34">
        <v>-6.3062816693352397E-2</v>
      </c>
      <c r="F8" s="34"/>
      <c r="G8" s="34">
        <v>0.61233207497453002</v>
      </c>
      <c r="H8" s="34">
        <v>7.55773345882353E-3</v>
      </c>
      <c r="J8" s="34">
        <v>10</v>
      </c>
      <c r="K8" s="34">
        <v>1.3967000000000001</v>
      </c>
      <c r="L8" s="34">
        <v>1.8960000000000001E-2</v>
      </c>
      <c r="M8" s="34">
        <v>-6.7500000000000004E-2</v>
      </c>
      <c r="O8" s="34">
        <v>4</v>
      </c>
      <c r="P8" s="34">
        <v>0.86056280087527359</v>
      </c>
    </row>
    <row r="9" spans="1:16">
      <c r="A9" s="34">
        <v>8.1289859490463492</v>
      </c>
      <c r="B9" s="34">
        <v>1.14646863344481</v>
      </c>
      <c r="C9" s="34"/>
      <c r="D9" s="34">
        <v>8.1586961007576999</v>
      </c>
      <c r="E9" s="34">
        <v>-7.0992217288172205E-2</v>
      </c>
      <c r="F9" s="34"/>
      <c r="G9" s="34">
        <v>0.37256467249941599</v>
      </c>
      <c r="H9" s="34">
        <v>7.52041144470588E-3</v>
      </c>
      <c r="J9" s="34">
        <v>8</v>
      </c>
      <c r="K9" s="34">
        <v>1.2713000000000001</v>
      </c>
      <c r="L9" s="34">
        <v>1.6199999999999999E-2</v>
      </c>
      <c r="M9" s="34">
        <v>-8.3099999999999993E-2</v>
      </c>
      <c r="O9" s="34">
        <v>2</v>
      </c>
      <c r="P9" s="34">
        <v>0.65353140043763669</v>
      </c>
    </row>
    <row r="10" spans="1:16">
      <c r="A10" s="34">
        <v>6.0868569942281496</v>
      </c>
      <c r="B10" s="34">
        <v>0.98182627919732202</v>
      </c>
      <c r="C10" s="34"/>
      <c r="D10" s="34">
        <v>6.2076601232040201</v>
      </c>
      <c r="E10" s="34">
        <v>-7.8455173531227496E-2</v>
      </c>
      <c r="F10" s="34"/>
      <c r="G10" s="34">
        <v>0.20841653728793599</v>
      </c>
      <c r="H10" s="34">
        <v>7.5390724517647098E-3</v>
      </c>
      <c r="J10" s="34">
        <v>6</v>
      </c>
      <c r="K10" s="34">
        <v>1.1019000000000001</v>
      </c>
      <c r="L10" s="34">
        <v>1.4290000000000001E-2</v>
      </c>
      <c r="M10" s="34">
        <v>-9.2499999999999999E-2</v>
      </c>
      <c r="O10" s="34">
        <v>0</v>
      </c>
      <c r="P10" s="34">
        <v>0.44649999999999995</v>
      </c>
    </row>
    <row r="11" spans="1:16">
      <c r="A11" s="34">
        <v>4.0891085003855201</v>
      </c>
      <c r="B11" s="34">
        <v>0.80221610260869403</v>
      </c>
      <c r="C11" s="34"/>
      <c r="D11" s="34">
        <v>4.2122814246860596</v>
      </c>
      <c r="E11" s="34">
        <v>-8.1253839641817996E-2</v>
      </c>
      <c r="F11" s="34"/>
      <c r="G11" s="34">
        <v>-1.6595649521429199E-2</v>
      </c>
      <c r="H11" s="34">
        <v>8.0615683764705907E-3</v>
      </c>
      <c r="J11" s="34">
        <v>4</v>
      </c>
      <c r="K11" s="34">
        <v>0.92949999999999999</v>
      </c>
      <c r="L11" s="34">
        <v>1.281E-2</v>
      </c>
      <c r="M11" s="34">
        <v>-0.1021</v>
      </c>
      <c r="O11" s="34">
        <v>-2</v>
      </c>
      <c r="P11" s="34">
        <v>0.23946859956236324</v>
      </c>
    </row>
    <row r="12" spans="1:16">
      <c r="A12" s="34">
        <v>1.9582040247803101</v>
      </c>
      <c r="B12" s="34">
        <v>0.60763810367892801</v>
      </c>
      <c r="C12" s="34"/>
      <c r="D12" s="34">
        <v>2.30557358647189</v>
      </c>
      <c r="E12" s="34">
        <v>-8.7317462829577405E-2</v>
      </c>
      <c r="F12" s="34"/>
      <c r="G12" s="34">
        <v>-0.189965794524001</v>
      </c>
      <c r="H12" s="34">
        <v>8.3041553317646996E-3</v>
      </c>
      <c r="J12" s="34">
        <v>2</v>
      </c>
      <c r="K12" s="34">
        <v>0.68020000000000003</v>
      </c>
      <c r="L12" s="34">
        <v>1.1509999999999999E-2</v>
      </c>
      <c r="M12" s="34">
        <v>-9.5399999999999999E-2</v>
      </c>
      <c r="O12" s="34">
        <v>-4</v>
      </c>
      <c r="P12" s="34">
        <v>3.2437199124726507E-2</v>
      </c>
    </row>
    <row r="13" spans="1:16">
      <c r="A13" s="34">
        <v>9.3640710372000002E-2</v>
      </c>
      <c r="B13" s="34">
        <v>0.40183546849498097</v>
      </c>
      <c r="C13" s="34"/>
      <c r="D13" s="34">
        <v>-4.4532298135464998E-2</v>
      </c>
      <c r="E13" s="34">
        <v>-8.8250351533107896E-2</v>
      </c>
      <c r="F13" s="34"/>
      <c r="G13" s="34">
        <v>-0.43711019832032899</v>
      </c>
      <c r="H13" s="34">
        <v>9.2185262682352997E-3</v>
      </c>
      <c r="J13" s="34">
        <v>0</v>
      </c>
      <c r="K13" s="34">
        <v>0.44919999999999999</v>
      </c>
      <c r="L13" s="34">
        <v>1.0869999999999999E-2</v>
      </c>
      <c r="M13" s="34">
        <v>-9.6600000000000005E-2</v>
      </c>
      <c r="O13" s="34">
        <v>-6</v>
      </c>
      <c r="P13" s="34">
        <v>-0.17459420131291023</v>
      </c>
    </row>
    <row r="14" spans="1:16">
      <c r="A14" s="34">
        <v>-2.2592390642903699</v>
      </c>
      <c r="B14" s="34">
        <v>0.22035431411371101</v>
      </c>
      <c r="C14" s="34"/>
      <c r="D14" s="34">
        <v>-2.0842537176176799</v>
      </c>
      <c r="E14" s="34">
        <v>-8.8250351533107896E-2</v>
      </c>
      <c r="F14" s="34"/>
      <c r="G14" s="34">
        <v>-0.62154675507221102</v>
      </c>
      <c r="H14" s="34">
        <v>1.0543433223529399E-2</v>
      </c>
      <c r="J14" s="34">
        <v>-2</v>
      </c>
      <c r="K14" s="34">
        <v>0.24740000000000001</v>
      </c>
      <c r="L14" s="34">
        <v>1.187E-2</v>
      </c>
      <c r="M14" s="34">
        <v>-0.10150000000000001</v>
      </c>
      <c r="O14" s="34">
        <v>-8</v>
      </c>
      <c r="P14" s="34">
        <v>-0.38162560175054699</v>
      </c>
    </row>
    <row r="15" spans="1:16">
      <c r="A15" s="34">
        <v>-4.3013680191085601</v>
      </c>
      <c r="B15" s="34">
        <v>1.2680085886286101E-2</v>
      </c>
      <c r="C15" s="34"/>
      <c r="D15" s="34">
        <v>-4.1683178580641904</v>
      </c>
      <c r="E15" s="34">
        <v>-8.8250351533107896E-2</v>
      </c>
      <c r="F15" s="34"/>
      <c r="G15" s="34">
        <v>-0.83364873468570799</v>
      </c>
      <c r="H15" s="34">
        <v>1.2894671021176401E-2</v>
      </c>
      <c r="J15" s="34">
        <v>-4</v>
      </c>
      <c r="K15" s="34">
        <v>3.5200000000000002E-2</v>
      </c>
      <c r="L15" s="34">
        <v>1.3010000000000001E-2</v>
      </c>
      <c r="M15" s="34">
        <v>-0.1045</v>
      </c>
      <c r="O15" s="34">
        <v>-10</v>
      </c>
      <c r="P15" s="34">
        <v>-0.58865700218818373</v>
      </c>
    </row>
    <row r="16" spans="1:16">
      <c r="A16" s="34">
        <v>-6.3434969739267597</v>
      </c>
      <c r="B16" s="34">
        <v>-0.19125218675585301</v>
      </c>
      <c r="C16" s="34"/>
      <c r="D16" s="34">
        <v>-6.16369655658215</v>
      </c>
      <c r="E16" s="34">
        <v>-9.1048864258511594E-2</v>
      </c>
      <c r="F16" s="34"/>
      <c r="G16" s="34"/>
      <c r="H16" s="34"/>
      <c r="J16" s="34">
        <v>-6</v>
      </c>
      <c r="K16" s="34">
        <v>-0.1792</v>
      </c>
      <c r="L16" s="34">
        <v>1.508E-2</v>
      </c>
      <c r="M16" s="34">
        <v>-0.10730000000000001</v>
      </c>
      <c r="O16" s="34">
        <v>-12</v>
      </c>
      <c r="P16" s="34">
        <v>-0.79568840262582041</v>
      </c>
    </row>
    <row r="17" spans="1:13">
      <c r="A17" s="34">
        <v>-8.2080602883350995</v>
      </c>
      <c r="B17" s="34">
        <v>-0.39331348160535201</v>
      </c>
      <c r="C17" s="34"/>
      <c r="D17" s="34">
        <v>-7.9817189528677899</v>
      </c>
      <c r="E17" s="34">
        <v>-9.2448197313807101E-2</v>
      </c>
      <c r="F17" s="34"/>
      <c r="G17" s="34"/>
      <c r="H17" s="34"/>
      <c r="J17" s="34">
        <v>-8</v>
      </c>
      <c r="K17" s="34">
        <v>-0.39119999999999999</v>
      </c>
      <c r="L17" s="34">
        <v>1.864E-2</v>
      </c>
      <c r="M17" s="34">
        <v>-0.10979999999999999</v>
      </c>
    </row>
    <row r="18" spans="1:13">
      <c r="A18" s="34">
        <v>-10.383374422587501</v>
      </c>
      <c r="B18" s="34">
        <v>-0.61408455438127096</v>
      </c>
      <c r="C18" s="34"/>
      <c r="D18" s="34"/>
      <c r="E18" s="34"/>
      <c r="F18" s="34"/>
      <c r="G18" s="34"/>
      <c r="H18" s="34"/>
      <c r="J18" s="34">
        <v>-10</v>
      </c>
      <c r="K18" s="34">
        <v>-0.63380000000000003</v>
      </c>
      <c r="L18" s="34">
        <v>2.3810000000000001E-2</v>
      </c>
      <c r="M18" s="34">
        <v>-0.1045</v>
      </c>
    </row>
    <row r="19" spans="1:13">
      <c r="A19" s="34">
        <v>-12.3811083175943</v>
      </c>
      <c r="B19" s="34">
        <v>-0.83111305632107002</v>
      </c>
      <c r="C19" s="34"/>
      <c r="D19" s="34"/>
      <c r="E19" s="34"/>
      <c r="F19" s="34"/>
      <c r="G19" s="34"/>
      <c r="H19" s="34"/>
      <c r="J19" s="34">
        <v>-12</v>
      </c>
      <c r="K19" s="34">
        <v>-0.87429999999999997</v>
      </c>
      <c r="L19" s="34">
        <v>3.134E-2</v>
      </c>
      <c r="M19" s="34">
        <v>-9.4200000000000006E-2</v>
      </c>
    </row>
    <row r="20" spans="1:13">
      <c r="A20" s="34">
        <v>-14.3788422126011</v>
      </c>
      <c r="B20" s="34">
        <v>-0.86479004133779203</v>
      </c>
      <c r="C20" s="34"/>
      <c r="D20" s="34"/>
      <c r="E20" s="34"/>
      <c r="F20" s="34"/>
      <c r="G20" s="34"/>
      <c r="H20" s="34"/>
      <c r="J20" s="34">
        <v>-13</v>
      </c>
      <c r="K20" s="34">
        <v>-0.31409999999999999</v>
      </c>
      <c r="L20" s="34">
        <v>0.1356</v>
      </c>
      <c r="M20" s="34">
        <v>-4.65E-2</v>
      </c>
    </row>
    <row r="21" spans="1:13">
      <c r="J21" s="34">
        <v>-16</v>
      </c>
      <c r="K21" s="34">
        <v>-0.33439999999999998</v>
      </c>
      <c r="L21" s="34">
        <v>0.16728999999999999</v>
      </c>
      <c r="M21" s="34">
        <v>-4.48E-2</v>
      </c>
    </row>
    <row r="22" spans="1:13">
      <c r="J22" s="34">
        <v>-18</v>
      </c>
      <c r="K22" s="34">
        <v>-0.3775</v>
      </c>
      <c r="L22" s="34">
        <v>0.19278000000000001</v>
      </c>
      <c r="M22" s="34">
        <v>-3.2399999999999998E-2</v>
      </c>
    </row>
  </sheetData>
  <mergeCells count="2">
    <mergeCell ref="A1:H1"/>
    <mergeCell ref="J1:M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38"/>
  <sheetViews>
    <sheetView topLeftCell="A2" workbookViewId="0">
      <selection activeCell="U27" sqref="U27"/>
    </sheetView>
  </sheetViews>
  <sheetFormatPr defaultRowHeight="15"/>
  <cols>
    <col min="1" max="1" width="16.85546875" style="12" bestFit="1" customWidth="1"/>
    <col min="2" max="2" width="11" style="12" bestFit="1" customWidth="1"/>
    <col min="3" max="3" width="11" style="12" customWidth="1"/>
    <col min="4" max="4" width="21.85546875" style="12" bestFit="1" customWidth="1"/>
    <col min="5" max="5" width="10" style="12" customWidth="1"/>
    <col min="6" max="6" width="12" style="12" bestFit="1" customWidth="1"/>
    <col min="7" max="7" width="12.140625" style="12" bestFit="1" customWidth="1"/>
    <col min="8" max="9" width="11.42578125" style="12" customWidth="1"/>
    <col min="10" max="10" width="11.85546875" style="12" bestFit="1" customWidth="1"/>
    <col min="11" max="11" width="11.140625" style="12" bestFit="1" customWidth="1"/>
    <col min="12" max="12" width="24.28515625" style="12" bestFit="1" customWidth="1"/>
    <col min="13" max="13" width="11.85546875" style="12" bestFit="1" customWidth="1"/>
    <col min="14" max="14" width="11.140625" style="12" bestFit="1" customWidth="1"/>
    <col min="15" max="15" width="5.28515625" style="12" customWidth="1"/>
    <col min="16" max="16" width="6.28515625" style="12" customWidth="1"/>
    <col min="17" max="19" width="9.140625" style="12"/>
    <col min="20" max="21" width="12" style="12" bestFit="1" customWidth="1"/>
    <col min="22" max="16384" width="9.140625" style="12"/>
  </cols>
  <sheetData>
    <row r="1" spans="1:27" ht="17.25">
      <c r="A1" s="17" t="s">
        <v>26</v>
      </c>
      <c r="B1" s="17" t="s">
        <v>59</v>
      </c>
      <c r="C1" s="13"/>
      <c r="D1" s="17" t="s">
        <v>31</v>
      </c>
      <c r="E1" s="17">
        <v>1</v>
      </c>
      <c r="F1" s="13"/>
      <c r="G1" s="17"/>
      <c r="H1" s="17" t="s">
        <v>35</v>
      </c>
      <c r="I1" s="17" t="s">
        <v>36</v>
      </c>
      <c r="K1" s="16" t="s">
        <v>20</v>
      </c>
      <c r="L1" s="16" t="s">
        <v>50</v>
      </c>
      <c r="M1" s="16" t="s">
        <v>51</v>
      </c>
      <c r="P1" s="8"/>
      <c r="Q1" s="13"/>
      <c r="R1" s="13"/>
      <c r="S1" s="13"/>
      <c r="T1" s="13"/>
      <c r="U1" s="13"/>
      <c r="V1" s="13" t="s">
        <v>42</v>
      </c>
      <c r="W1" s="13"/>
      <c r="X1" s="13"/>
      <c r="Y1" s="13"/>
      <c r="Z1" s="13"/>
      <c r="AA1" s="13"/>
    </row>
    <row r="2" spans="1:27" ht="18">
      <c r="A2" s="17" t="s">
        <v>21</v>
      </c>
      <c r="B2" s="17">
        <v>250000</v>
      </c>
      <c r="C2" s="13"/>
      <c r="D2" s="17" t="s">
        <v>55</v>
      </c>
      <c r="E2" s="17">
        <v>80</v>
      </c>
      <c r="F2" s="13"/>
      <c r="G2" s="17" t="s">
        <v>32</v>
      </c>
      <c r="H2" s="17">
        <v>163.6</v>
      </c>
      <c r="I2" s="17">
        <f>H2/144</f>
        <v>1.1361111111111111</v>
      </c>
      <c r="J2" s="13"/>
      <c r="K2" s="17">
        <f>C7/B7</f>
        <v>0.38464999999999999</v>
      </c>
      <c r="L2" s="17">
        <f>(2/3)*B7*(1+K2+K2^2)/(1+K2)</f>
        <v>17.709666673888709</v>
      </c>
      <c r="M2" s="17">
        <f>(12*E3/6)*((1+2*K2)/(1+K2))</f>
        <v>2.5555916657639113</v>
      </c>
      <c r="N2" s="13"/>
      <c r="O2" s="13"/>
      <c r="P2" s="8" t="s">
        <v>8</v>
      </c>
      <c r="Q2" s="13" t="s">
        <v>37</v>
      </c>
      <c r="R2" s="8" t="s">
        <v>9</v>
      </c>
      <c r="S2" s="8" t="s">
        <v>38</v>
      </c>
      <c r="T2" s="8" t="s">
        <v>39</v>
      </c>
      <c r="U2" s="8" t="s">
        <v>12</v>
      </c>
      <c r="V2" s="8" t="s">
        <v>13</v>
      </c>
      <c r="W2" s="13"/>
      <c r="X2" s="13"/>
      <c r="Y2" s="13"/>
      <c r="Z2" s="13"/>
      <c r="AA2" s="13"/>
    </row>
    <row r="3" spans="1:27">
      <c r="A3" s="17" t="s">
        <v>17</v>
      </c>
      <c r="B3" s="17">
        <v>0.18</v>
      </c>
      <c r="C3" s="13"/>
      <c r="D3" s="17" t="s">
        <v>33</v>
      </c>
      <c r="E3" s="17"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8" t="s">
        <v>14</v>
      </c>
      <c r="Q3" s="8" t="s">
        <v>15</v>
      </c>
      <c r="R3" s="8" t="s">
        <v>15</v>
      </c>
      <c r="S3" s="8" t="s">
        <v>15</v>
      </c>
      <c r="T3" s="8" t="s">
        <v>15</v>
      </c>
      <c r="U3" s="8" t="s">
        <v>15</v>
      </c>
      <c r="V3" s="8" t="s">
        <v>15</v>
      </c>
      <c r="W3" s="13"/>
      <c r="X3" s="13"/>
      <c r="Y3" s="13"/>
      <c r="Z3" s="13"/>
      <c r="AA3" s="13"/>
    </row>
    <row r="4" spans="1:27" ht="18.75">
      <c r="A4" s="7" t="s">
        <v>34</v>
      </c>
      <c r="B4" s="30">
        <v>2.2878199999999999E-3</v>
      </c>
      <c r="C4" s="13"/>
      <c r="D4" s="13"/>
      <c r="E4" s="13"/>
      <c r="F4" s="13"/>
      <c r="G4" s="16" t="s">
        <v>60</v>
      </c>
      <c r="H4" s="42" t="s">
        <v>65</v>
      </c>
      <c r="I4" s="42"/>
      <c r="J4" s="42" t="s">
        <v>67</v>
      </c>
      <c r="K4" s="42"/>
      <c r="M4" s="43" t="s">
        <v>77</v>
      </c>
      <c r="N4" s="43"/>
      <c r="O4" s="13"/>
      <c r="P4" s="8">
        <v>20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>
      <c r="A5" s="13"/>
      <c r="B5" s="13"/>
      <c r="C5" s="13"/>
      <c r="D5" s="13"/>
      <c r="E5" s="17" t="s">
        <v>7</v>
      </c>
      <c r="F5" s="13"/>
      <c r="G5" s="16" t="s">
        <v>52</v>
      </c>
      <c r="H5" s="16" t="s">
        <v>53</v>
      </c>
      <c r="I5" s="16" t="s">
        <v>54</v>
      </c>
      <c r="J5" s="16" t="s">
        <v>53</v>
      </c>
      <c r="K5" s="16" t="s">
        <v>54</v>
      </c>
      <c r="M5" s="16" t="s">
        <v>53</v>
      </c>
      <c r="N5" s="16" t="s">
        <v>54</v>
      </c>
      <c r="O5" s="13"/>
      <c r="P5" s="8">
        <v>18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>
      <c r="A6" s="17"/>
      <c r="B6" s="17" t="s">
        <v>27</v>
      </c>
      <c r="C6" s="17" t="s">
        <v>28</v>
      </c>
      <c r="D6" s="13"/>
      <c r="E6" s="17">
        <f>4.61*(1-0.045*F11^(0.68))*(COS(C12))^0.15-3.1</f>
        <v>1.3039169719308723</v>
      </c>
      <c r="F6" s="13"/>
      <c r="G6" s="16">
        <f>('Wing Chract. (Ref)'!A16)-(('Wing Chract. (Ref)'!B16)/(('Wing Chract. (Ref)'!B16-'Wing Chract. (Ref)'!B17)/('Wing Chract. (Ref)'!A16-'Wing Chract. (Ref)'!A17)))</f>
        <v>-4.3133553563001419</v>
      </c>
      <c r="H6" s="16">
        <f>('Wing Chract. (Ref)'!B14-0)/(0-'Wing Info. (Ref)'!G6)</f>
        <v>0.10351570021881837</v>
      </c>
      <c r="I6" s="16">
        <f>H6*180/PI()</f>
        <v>5.9310127358797455</v>
      </c>
      <c r="J6" s="16">
        <f>K6*PI()/180</f>
        <v>2.1124170614303044E-2</v>
      </c>
      <c r="K6" s="16">
        <f>I6*COS(C11)/(SQRT(1+(I6*COS(C11)/(PI()*F11))^2)+(I6*COS(C11)/(PI()*F11)))</f>
        <v>1.21032582191384</v>
      </c>
      <c r="M6" s="16">
        <f>('Wing Chract. (Ref)'!E12-'Wing Chract. (Ref)'!E17)/('Wing Chract. (Ref)'!A12-'Wing Chract. (Ref)'!A17)</f>
        <v>5.5000000000000047E-4</v>
      </c>
      <c r="N6" s="16">
        <f>M6*180/PI()</f>
        <v>3.1512678732195307E-2</v>
      </c>
      <c r="P6" s="8">
        <v>16</v>
      </c>
      <c r="Q6" s="13"/>
      <c r="R6" s="13"/>
      <c r="S6" s="8"/>
      <c r="T6" s="13"/>
      <c r="U6" s="13"/>
      <c r="V6" s="13"/>
      <c r="W6" s="13"/>
      <c r="X6" s="13" t="s">
        <v>62</v>
      </c>
      <c r="Y6" s="13" t="s">
        <v>63</v>
      </c>
      <c r="Z6" s="13" t="s">
        <v>64</v>
      </c>
      <c r="AA6" s="13"/>
    </row>
    <row r="7" spans="1:27">
      <c r="A7" s="17" t="s">
        <v>29</v>
      </c>
      <c r="B7" s="17">
        <v>24</v>
      </c>
      <c r="C7" s="17">
        <v>9.2316000000000003</v>
      </c>
      <c r="D7" s="13"/>
      <c r="H7" s="16">
        <f>('Wing Chract. (Ref)'!B8-'Wing Chract. (Ref)'!B9)/('Wing Chract. (Ref)'!A8-'Wing Chract. (Ref)'!A9)</f>
        <v>4.3849999999999945E-2</v>
      </c>
      <c r="I7" s="16">
        <f>H7*180/PI()</f>
        <v>2.5124199316486568</v>
      </c>
      <c r="J7" s="16">
        <f>K7*PI()/180</f>
        <v>1.5318858855000282E-2</v>
      </c>
      <c r="K7" s="16">
        <f>I7*COS(C11)/(SQRT(1+(I7*COS(C11)/(PI()*F11))^2)+(I7*COS(C11)/(PI()*F11)))</f>
        <v>0.87770595934812479</v>
      </c>
      <c r="L7" s="13"/>
      <c r="M7" s="13"/>
      <c r="N7" s="13"/>
      <c r="O7" s="13"/>
      <c r="P7" s="8">
        <v>14</v>
      </c>
      <c r="Q7" s="13">
        <f>$H$7*(P7-$P$10)+$Q$27</f>
        <v>1.5377256017505467</v>
      </c>
      <c r="R7" s="13">
        <f>$J$7*(P7-$P$10)+$R$27</f>
        <v>0.35202257251102814</v>
      </c>
      <c r="S7" s="8"/>
      <c r="T7" s="13"/>
      <c r="U7" s="13" t="e">
        <f t="shared" ref="U7:U20" si="0">R7/S7</f>
        <v>#DIV/0!</v>
      </c>
      <c r="V7" s="13" t="e">
        <f t="shared" ref="V7:V20" si="1">1/U7</f>
        <v>#DIV/0!</v>
      </c>
      <c r="W7" s="13"/>
      <c r="X7" s="13">
        <f>0.1035*((P7-((57.3*R7)/(PI()*3.6)))-(-4.313))</f>
        <v>1.7108033999619165</v>
      </c>
      <c r="Y7" s="13">
        <f>R7^2/(PI()*$E$6*$F$11)</f>
        <v>3.4368614203483597E-2</v>
      </c>
      <c r="Z7" s="13"/>
      <c r="AA7" s="13">
        <f t="shared" ref="AA7:AA20" si="2">Y7+Z7</f>
        <v>3.4368614203483597E-2</v>
      </c>
    </row>
    <row r="8" spans="1:27">
      <c r="A8" s="17" t="s">
        <v>30</v>
      </c>
      <c r="B8" s="17">
        <f>B7*B3</f>
        <v>4.32</v>
      </c>
      <c r="C8" s="17">
        <f>C7*B3</f>
        <v>1.6616880000000001</v>
      </c>
      <c r="D8" s="13"/>
      <c r="H8" s="42" t="s">
        <v>66</v>
      </c>
      <c r="I8" s="42"/>
      <c r="J8" s="44" t="s">
        <v>68</v>
      </c>
      <c r="K8" s="45"/>
      <c r="L8" s="13"/>
      <c r="M8" s="13"/>
      <c r="N8" s="13"/>
      <c r="O8" s="13"/>
      <c r="P8" s="8">
        <v>12</v>
      </c>
      <c r="Q8" s="13">
        <f t="shared" ref="Q8" si="3">$H$7*(P8-$P$10)+$Q$27</f>
        <v>1.4500256017505468</v>
      </c>
      <c r="R8" s="13">
        <f t="shared" ref="R8:R9" si="4">$J$7*(P8-$P$10)+$R$27</f>
        <v>0.32138485480102758</v>
      </c>
      <c r="S8" s="8"/>
      <c r="T8" s="13"/>
      <c r="U8" s="13" t="e">
        <f t="shared" si="0"/>
        <v>#DIV/0!</v>
      </c>
      <c r="V8" s="13" t="e">
        <f t="shared" si="1"/>
        <v>#DIV/0!</v>
      </c>
      <c r="W8" s="13"/>
      <c r="X8" s="13">
        <f t="shared" ref="X8:X20" si="5">0.1035*((P8-((57.3*R8)/(PI()*3.6)))-(-4.313))</f>
        <v>1.5198690761261513</v>
      </c>
      <c r="Y8" s="13">
        <f t="shared" ref="Y8:Y20" si="6">R8^2/(PI()*$E$6*$F$11)</f>
        <v>2.8646515975640493E-2</v>
      </c>
      <c r="Z8" s="13"/>
      <c r="AA8" s="13">
        <f t="shared" si="2"/>
        <v>2.8646515975640493E-2</v>
      </c>
    </row>
    <row r="9" spans="1:27">
      <c r="A9" s="13"/>
      <c r="B9" s="13"/>
      <c r="C9" s="13"/>
      <c r="D9" s="13"/>
      <c r="L9" s="13"/>
      <c r="N9" s="6"/>
      <c r="O9" s="6"/>
      <c r="P9" s="8">
        <v>10</v>
      </c>
      <c r="Q9" s="13">
        <f>$H$7*(P9-$P$10)+$Q$27</f>
        <v>1.362325601750547</v>
      </c>
      <c r="R9" s="13">
        <f t="shared" si="4"/>
        <v>0.29074713709102701</v>
      </c>
      <c r="S9" s="8"/>
      <c r="T9" s="13"/>
      <c r="U9" s="13" t="e">
        <f t="shared" si="0"/>
        <v>#DIV/0!</v>
      </c>
      <c r="V9" s="13" t="e">
        <f t="shared" si="1"/>
        <v>#DIV/0!</v>
      </c>
      <c r="W9" s="13"/>
      <c r="X9" s="13">
        <f t="shared" si="5"/>
        <v>1.3289347522903856</v>
      </c>
      <c r="Y9" s="13">
        <f t="shared" si="6"/>
        <v>2.3445089255426346E-2</v>
      </c>
      <c r="Z9" s="13"/>
      <c r="AA9" s="13">
        <f t="shared" si="2"/>
        <v>2.3445089255426346E-2</v>
      </c>
    </row>
    <row r="10" spans="1:27" ht="18">
      <c r="A10" s="16"/>
      <c r="B10" s="17" t="s">
        <v>52</v>
      </c>
      <c r="C10" s="17" t="s">
        <v>61</v>
      </c>
      <c r="D10" s="13"/>
      <c r="E10" s="17"/>
      <c r="F10" s="17" t="s">
        <v>19</v>
      </c>
      <c r="G10" s="17" t="s">
        <v>18</v>
      </c>
      <c r="H10" s="17" t="s">
        <v>46</v>
      </c>
      <c r="I10" s="17" t="s">
        <v>47</v>
      </c>
      <c r="J10" s="17" t="s">
        <v>48</v>
      </c>
      <c r="K10" s="17" t="s">
        <v>49</v>
      </c>
      <c r="L10" s="17" t="s">
        <v>56</v>
      </c>
      <c r="O10" s="13"/>
      <c r="P10" s="8">
        <v>8</v>
      </c>
      <c r="Q10" s="13">
        <f>$H$6*(P10-$G$6)</f>
        <v>1.2746256017505471</v>
      </c>
      <c r="R10" s="13">
        <f>$J$6*(P10-$G$6)</f>
        <v>0.26010941938102644</v>
      </c>
      <c r="S10" s="8"/>
      <c r="T10" s="13"/>
      <c r="U10" s="13" t="e">
        <f t="shared" si="0"/>
        <v>#DIV/0!</v>
      </c>
      <c r="V10" s="13" t="e">
        <f t="shared" si="1"/>
        <v>#DIV/0!</v>
      </c>
      <c r="W10" s="13"/>
      <c r="X10" s="13">
        <f t="shared" si="5"/>
        <v>1.1380004284546203</v>
      </c>
      <c r="Y10" s="13">
        <f t="shared" si="6"/>
        <v>1.8764334042841155E-2</v>
      </c>
      <c r="Z10" s="13"/>
      <c r="AA10" s="13">
        <f t="shared" si="2"/>
        <v>1.8764334042841155E-2</v>
      </c>
    </row>
    <row r="11" spans="1:27">
      <c r="A11" s="17" t="s">
        <v>71</v>
      </c>
      <c r="B11" s="17">
        <v>-54.683</v>
      </c>
      <c r="C11" s="17">
        <f>B11*PI()/180</f>
        <v>-0.95439839486805922</v>
      </c>
      <c r="D11" s="13"/>
      <c r="E11" s="17" t="s">
        <v>44</v>
      </c>
      <c r="F11" s="46">
        <f>E3^2/I2</f>
        <v>0.88019559902200495</v>
      </c>
      <c r="G11" s="17">
        <f>((-M6/H6)+0.25)*100</f>
        <v>24.468679631362804</v>
      </c>
      <c r="H11" s="17">
        <f>SQRT((2*$E$1)/($B$4*$I$2*'Wing Chract. (Ref)'!B9))</f>
        <v>23.424654880329193</v>
      </c>
      <c r="I11" s="17">
        <f>SQRT((2*$E$1)/($B$4*$I$2*'Wing Chract. (Ref)'!$B$14))</f>
        <v>41.512886921449713</v>
      </c>
      <c r="J11" s="17">
        <f>0.5*'Wing Chract. (Ref)'!B9*$I$2*$B$4*$H$11^2</f>
        <v>1</v>
      </c>
      <c r="K11" s="17">
        <f>0.5*'Wing Chract. (Ref)'!$B$14*$I$2*$B$4*$I$11^2</f>
        <v>0.99999999999999989</v>
      </c>
      <c r="L11" s="17">
        <f>0.5*'Wing Chract. (Ref)'!$B$14*$I$2*$B$4*$E$2^2</f>
        <v>3.7137622815111113</v>
      </c>
      <c r="M11" s="13"/>
      <c r="N11" s="13"/>
      <c r="O11" s="13"/>
      <c r="P11" s="8">
        <v>6</v>
      </c>
      <c r="Q11" s="13">
        <f t="shared" ref="Q11:Q20" si="7">$H$6*(P11-$G$6)</f>
        <v>1.0675942013129103</v>
      </c>
      <c r="R11" s="13">
        <f t="shared" ref="R11:R20" si="8">$J$6*(P11-$G$6)</f>
        <v>0.21786107815242037</v>
      </c>
      <c r="S11" s="8"/>
      <c r="T11" s="13"/>
      <c r="U11" s="13" t="e">
        <f t="shared" si="0"/>
        <v>#DIV/0!</v>
      </c>
      <c r="V11" s="13" t="e">
        <f t="shared" si="1"/>
        <v>#DIV/0!</v>
      </c>
      <c r="W11" s="13"/>
      <c r="X11" s="13">
        <f t="shared" si="5"/>
        <v>0.95315443401990163</v>
      </c>
      <c r="Y11" s="13">
        <f t="shared" si="6"/>
        <v>1.3163770237310333E-2</v>
      </c>
      <c r="Z11" s="13"/>
      <c r="AA11" s="13">
        <f t="shared" si="2"/>
        <v>1.3163770237310333E-2</v>
      </c>
    </row>
    <row r="12" spans="1:27">
      <c r="A12" s="17" t="s">
        <v>72</v>
      </c>
      <c r="B12" s="17">
        <v>12.5</v>
      </c>
      <c r="C12" s="17">
        <f>B12*PI()/180</f>
        <v>0.21816615649929119</v>
      </c>
      <c r="D12" s="13"/>
      <c r="E12" s="17" t="s">
        <v>45</v>
      </c>
      <c r="F12" s="47"/>
      <c r="G12" s="17">
        <f>((-M6/J6)+0.25)*100</f>
        <v>22.396347482501401</v>
      </c>
      <c r="H12" s="17">
        <f>SQRT((2*$E$1)/($B$4*$I$2*R7))</f>
        <v>46.752884642864302</v>
      </c>
      <c r="I12" s="17">
        <f>SQRT((2*$E$1)/($B$4*$I$2*R14))</f>
        <v>91.895916896657255</v>
      </c>
      <c r="J12" s="17">
        <f>0.5*R7*$I$2*$B$4*$H$12^2</f>
        <v>1</v>
      </c>
      <c r="K12" s="17">
        <f>0.5*R14*$I$2*$B$4*$I$12^2</f>
        <v>1</v>
      </c>
      <c r="L12" s="17">
        <f>0.5*R14*$I$2*$B$4*$E$2^2</f>
        <v>0.75785748335538372</v>
      </c>
      <c r="M12" s="13"/>
      <c r="N12" s="13"/>
      <c r="O12" s="13"/>
      <c r="P12" s="8">
        <v>4</v>
      </c>
      <c r="Q12" s="13">
        <f t="shared" si="7"/>
        <v>0.86056280087527359</v>
      </c>
      <c r="R12" s="13">
        <f t="shared" si="8"/>
        <v>0.17561273692381429</v>
      </c>
      <c r="S12" s="8"/>
      <c r="T12" s="13"/>
      <c r="U12" s="13" t="e">
        <f t="shared" si="0"/>
        <v>#DIV/0!</v>
      </c>
      <c r="V12" s="13" t="e">
        <f t="shared" si="1"/>
        <v>#DIV/0!</v>
      </c>
      <c r="W12" s="13"/>
      <c r="X12" s="13">
        <f t="shared" si="5"/>
        <v>0.76830843958518291</v>
      </c>
      <c r="Y12" s="13">
        <f t="shared" si="6"/>
        <v>8.5532864971797368E-3</v>
      </c>
      <c r="Z12" s="13"/>
      <c r="AA12" s="13">
        <f t="shared" si="2"/>
        <v>8.5532864971797368E-3</v>
      </c>
    </row>
    <row r="13" spans="1:27">
      <c r="A13" s="13"/>
      <c r="B13" s="13"/>
      <c r="C13" s="13"/>
      <c r="D13" s="13"/>
      <c r="F13" s="13"/>
      <c r="G13" s="13"/>
      <c r="H13" s="5"/>
      <c r="I13" s="5"/>
      <c r="J13" s="13"/>
      <c r="K13" s="5"/>
      <c r="L13" s="13"/>
      <c r="P13" s="8">
        <v>2</v>
      </c>
      <c r="Q13" s="13">
        <f t="shared" si="7"/>
        <v>0.65353140043763669</v>
      </c>
      <c r="R13" s="13">
        <f t="shared" si="8"/>
        <v>0.13336439569520817</v>
      </c>
      <c r="S13" s="8"/>
      <c r="T13" s="13"/>
      <c r="U13" s="13" t="e">
        <f t="shared" si="0"/>
        <v>#DIV/0!</v>
      </c>
      <c r="V13" s="13" t="e">
        <f t="shared" si="1"/>
        <v>#DIV/0!</v>
      </c>
      <c r="W13" s="13"/>
      <c r="X13" s="13">
        <f t="shared" si="5"/>
        <v>0.5834624451504643</v>
      </c>
      <c r="Y13" s="13">
        <f t="shared" si="6"/>
        <v>4.9328828224493608E-3</v>
      </c>
      <c r="Z13" s="13"/>
      <c r="AA13" s="13">
        <f t="shared" si="2"/>
        <v>4.9328828224493608E-3</v>
      </c>
    </row>
    <row r="14" spans="1:27" ht="15" customHeight="1">
      <c r="A14" s="13"/>
      <c r="B14" s="13"/>
      <c r="C14" s="13"/>
      <c r="E14" s="13"/>
      <c r="F14" s="13"/>
      <c r="G14" s="13"/>
      <c r="I14" s="13"/>
      <c r="J14" s="13"/>
      <c r="L14" s="13"/>
      <c r="P14" s="8">
        <v>0</v>
      </c>
      <c r="Q14" s="13">
        <f t="shared" si="7"/>
        <v>0.44649999999999995</v>
      </c>
      <c r="R14" s="13">
        <f t="shared" si="8"/>
        <v>9.1116054466602092E-2</v>
      </c>
      <c r="S14" s="8"/>
      <c r="T14" s="13"/>
      <c r="U14" s="13" t="e">
        <f t="shared" si="0"/>
        <v>#DIV/0!</v>
      </c>
      <c r="V14" s="13" t="e">
        <f t="shared" si="1"/>
        <v>#DIV/0!</v>
      </c>
      <c r="W14" s="13"/>
      <c r="X14" s="13">
        <f t="shared" si="5"/>
        <v>0.39861645071574542</v>
      </c>
      <c r="Y14" s="13">
        <f t="shared" si="6"/>
        <v>2.3025592131192176E-3</v>
      </c>
      <c r="Z14" s="13"/>
      <c r="AA14" s="13">
        <f t="shared" si="2"/>
        <v>2.3025592131192176E-3</v>
      </c>
    </row>
    <row r="15" spans="1:27" ht="15" customHeight="1">
      <c r="A15" s="13"/>
      <c r="B15" s="13"/>
      <c r="C15" s="13"/>
      <c r="E15" s="13"/>
      <c r="F15" s="13"/>
      <c r="G15" s="13"/>
      <c r="H15" s="13"/>
      <c r="I15" s="13"/>
      <c r="J15" s="13"/>
      <c r="K15" s="13"/>
      <c r="P15" s="8">
        <v>-2</v>
      </c>
      <c r="Q15" s="13">
        <f t="shared" si="7"/>
        <v>0.23946859956236324</v>
      </c>
      <c r="R15" s="13">
        <f t="shared" si="8"/>
        <v>4.8867713237996005E-2</v>
      </c>
      <c r="S15" s="8"/>
      <c r="T15" s="13"/>
      <c r="U15" s="13" t="e">
        <f t="shared" si="0"/>
        <v>#DIV/0!</v>
      </c>
      <c r="V15" s="13" t="e">
        <f t="shared" si="1"/>
        <v>#DIV/0!</v>
      </c>
      <c r="W15" s="13"/>
      <c r="X15" s="13">
        <f t="shared" si="5"/>
        <v>0.21377045628102673</v>
      </c>
      <c r="Y15" s="13">
        <f t="shared" si="6"/>
        <v>6.6231566918929959E-4</v>
      </c>
      <c r="Z15" s="13"/>
      <c r="AA15" s="13">
        <f t="shared" si="2"/>
        <v>6.6231566918929959E-4</v>
      </c>
    </row>
    <row r="16" spans="1:27" ht="15" customHeight="1">
      <c r="E16" s="5"/>
      <c r="F16" s="5"/>
      <c r="G16" s="13"/>
      <c r="H16" s="13"/>
      <c r="I16" s="13"/>
      <c r="J16" s="13"/>
      <c r="K16" s="13"/>
      <c r="P16" s="8">
        <v>-4</v>
      </c>
      <c r="Q16" s="13">
        <f t="shared" si="7"/>
        <v>3.2437199124726507E-2</v>
      </c>
      <c r="R16" s="13">
        <f t="shared" si="8"/>
        <v>6.6193720093899169E-3</v>
      </c>
      <c r="S16" s="8"/>
      <c r="T16" s="13"/>
      <c r="U16" s="13" t="e">
        <f t="shared" si="0"/>
        <v>#DIV/0!</v>
      </c>
      <c r="V16" s="13" t="e">
        <f t="shared" si="1"/>
        <v>#DIV/0!</v>
      </c>
      <c r="W16" s="13"/>
      <c r="X16" s="13">
        <f t="shared" si="5"/>
        <v>2.892446184630796E-2</v>
      </c>
      <c r="Y16" s="13">
        <f t="shared" si="6"/>
        <v>1.2152190659608284E-5</v>
      </c>
      <c r="Z16" s="13"/>
      <c r="AA16" s="13">
        <f t="shared" si="2"/>
        <v>1.2152190659608284E-5</v>
      </c>
    </row>
    <row r="17" spans="2:27" ht="15" customHeight="1">
      <c r="P17" s="8">
        <v>-6</v>
      </c>
      <c r="Q17" s="13">
        <f t="shared" si="7"/>
        <v>-0.17459420131291023</v>
      </c>
      <c r="R17" s="13">
        <f t="shared" si="8"/>
        <v>-3.5628969219216169E-2</v>
      </c>
      <c r="S17" s="8"/>
      <c r="T17" s="13"/>
      <c r="U17" s="13" t="e">
        <f t="shared" si="0"/>
        <v>#DIV/0!</v>
      </c>
      <c r="V17" s="13" t="e">
        <f t="shared" si="1"/>
        <v>#DIV/0!</v>
      </c>
      <c r="W17" s="13"/>
      <c r="X17" s="13">
        <f t="shared" si="5"/>
        <v>-0.15592153258841079</v>
      </c>
      <c r="Y17" s="13">
        <f t="shared" si="6"/>
        <v>3.5206877753014371E-4</v>
      </c>
      <c r="Z17" s="13"/>
      <c r="AA17" s="13">
        <f t="shared" si="2"/>
        <v>3.5206877753014371E-4</v>
      </c>
    </row>
    <row r="18" spans="2:27">
      <c r="B18" s="13"/>
      <c r="P18" s="8">
        <v>-8</v>
      </c>
      <c r="Q18" s="13">
        <f t="shared" si="7"/>
        <v>-0.38162560175054699</v>
      </c>
      <c r="R18" s="13">
        <f t="shared" si="8"/>
        <v>-7.7877310447822257E-2</v>
      </c>
      <c r="S18" s="13"/>
      <c r="T18" s="13"/>
      <c r="U18" s="13" t="e">
        <f t="shared" si="0"/>
        <v>#DIV/0!</v>
      </c>
      <c r="V18" s="13" t="e">
        <f t="shared" si="1"/>
        <v>#DIV/0!</v>
      </c>
      <c r="W18" s="13"/>
      <c r="X18" s="13">
        <f t="shared" si="5"/>
        <v>-0.34076752702312957</v>
      </c>
      <c r="Y18" s="13">
        <f t="shared" si="6"/>
        <v>1.6820654298009058E-3</v>
      </c>
      <c r="Z18" s="13"/>
      <c r="AA18" s="13">
        <f t="shared" si="2"/>
        <v>1.6820654298009058E-3</v>
      </c>
    </row>
    <row r="19" spans="2:27">
      <c r="B19" s="13"/>
      <c r="P19" s="8">
        <v>-10</v>
      </c>
      <c r="Q19" s="13">
        <f t="shared" si="7"/>
        <v>-0.58865700218818373</v>
      </c>
      <c r="R19" s="13">
        <f t="shared" si="8"/>
        <v>-0.12012565167642834</v>
      </c>
      <c r="S19" s="13"/>
      <c r="T19" s="13"/>
      <c r="U19" s="13" t="e">
        <f t="shared" si="0"/>
        <v>#DIV/0!</v>
      </c>
      <c r="V19" s="13" t="e">
        <f t="shared" si="1"/>
        <v>#DIV/0!</v>
      </c>
      <c r="W19" s="13"/>
      <c r="X19" s="13">
        <f t="shared" si="5"/>
        <v>-0.52561352145784823</v>
      </c>
      <c r="Y19" s="13">
        <f t="shared" si="6"/>
        <v>4.0021421474718943E-3</v>
      </c>
      <c r="Z19" s="13"/>
      <c r="AA19" s="13">
        <f t="shared" si="2"/>
        <v>4.0021421474718943E-3</v>
      </c>
    </row>
    <row r="20" spans="2:27" ht="15" customHeight="1">
      <c r="P20" s="8">
        <v>-12</v>
      </c>
      <c r="Q20" s="13">
        <f t="shared" si="7"/>
        <v>-0.79568840262582041</v>
      </c>
      <c r="R20" s="13">
        <f t="shared" si="8"/>
        <v>-0.16237399290503443</v>
      </c>
      <c r="S20" s="13"/>
      <c r="T20" s="13"/>
      <c r="U20" s="13" t="e">
        <f t="shared" si="0"/>
        <v>#DIV/0!</v>
      </c>
      <c r="V20" s="13" t="e">
        <f t="shared" si="1"/>
        <v>#DIV/0!</v>
      </c>
      <c r="W20" s="13"/>
      <c r="X20" s="13">
        <f t="shared" si="5"/>
        <v>-0.71045951589256706</v>
      </c>
      <c r="Y20" s="13">
        <f t="shared" si="6"/>
        <v>7.3122989305431105E-3</v>
      </c>
      <c r="Z20" s="13"/>
      <c r="AA20" s="13">
        <f t="shared" si="2"/>
        <v>7.3122989305431105E-3</v>
      </c>
    </row>
    <row r="21" spans="2:27">
      <c r="P21" s="8">
        <v>-14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>
      <c r="P22" s="8">
        <v>-16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>
      <c r="P23" s="8">
        <v>-18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2:27"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2:27">
      <c r="Q25" s="13"/>
      <c r="T25" s="13" t="s">
        <v>100</v>
      </c>
      <c r="U25" s="13" t="s">
        <v>106</v>
      </c>
      <c r="V25" s="13" t="s">
        <v>107</v>
      </c>
      <c r="W25" s="13"/>
      <c r="X25" s="13"/>
      <c r="Y25" s="13"/>
      <c r="Z25" s="13"/>
    </row>
    <row r="26" spans="2:27">
      <c r="Q26" s="17" t="s">
        <v>69</v>
      </c>
      <c r="R26" s="17" t="s">
        <v>70</v>
      </c>
      <c r="T26" s="13">
        <v>65</v>
      </c>
      <c r="U26" s="37">
        <f>0.5*$R$14*$B$4*$I$2*T26^2</f>
        <v>0.50030435424632758</v>
      </c>
      <c r="V26" s="37">
        <f>0.5*$R$7*$B$4*$I$2*T26^2</f>
        <v>1.9329022404587968</v>
      </c>
      <c r="W26" s="13"/>
      <c r="X26" s="13"/>
      <c r="Y26" s="13"/>
      <c r="Z26" s="13"/>
    </row>
    <row r="27" spans="2:27">
      <c r="Q27" s="17">
        <f>Q10</f>
        <v>1.2746256017505471</v>
      </c>
      <c r="R27" s="17">
        <f>R10</f>
        <v>0.26010941938102644</v>
      </c>
      <c r="T27" s="12">
        <v>70</v>
      </c>
      <c r="U27" s="37">
        <f t="shared" ref="U27:U38" si="9">0.5*$R$14*$B$4*$I$2*T27^2</f>
        <v>0.58023463569396572</v>
      </c>
      <c r="V27" s="37">
        <f t="shared" ref="V27:V35" si="10">0.5*$R$7*$B$4*$I$2*T27^2</f>
        <v>2.241709107277658</v>
      </c>
    </row>
    <row r="28" spans="2:27">
      <c r="T28" s="13">
        <v>75</v>
      </c>
      <c r="U28" s="37">
        <f t="shared" si="9"/>
        <v>0.66608567873031777</v>
      </c>
      <c r="V28" s="37">
        <f t="shared" si="10"/>
        <v>2.573390556823842</v>
      </c>
    </row>
    <row r="29" spans="2:27">
      <c r="T29" s="12">
        <v>80</v>
      </c>
      <c r="U29" s="37">
        <f t="shared" si="9"/>
        <v>0.75785748335538372</v>
      </c>
      <c r="V29" s="37">
        <f t="shared" si="10"/>
        <v>2.9279465890973491</v>
      </c>
    </row>
    <row r="30" spans="2:27">
      <c r="T30" s="13">
        <v>85</v>
      </c>
      <c r="U30" s="37">
        <f t="shared" si="9"/>
        <v>0.8555500495691637</v>
      </c>
      <c r="V30" s="37">
        <f t="shared" si="10"/>
        <v>3.3053772040981793</v>
      </c>
    </row>
    <row r="31" spans="2:27">
      <c r="T31" s="12">
        <v>90</v>
      </c>
      <c r="U31" s="37">
        <f t="shared" si="9"/>
        <v>0.95916337737165758</v>
      </c>
      <c r="V31" s="37">
        <f t="shared" si="10"/>
        <v>3.7056824018263326</v>
      </c>
    </row>
    <row r="32" spans="2:27">
      <c r="T32" s="13">
        <v>95</v>
      </c>
      <c r="U32" s="37">
        <f t="shared" si="9"/>
        <v>1.0686974667628653</v>
      </c>
      <c r="V32" s="37">
        <f t="shared" si="10"/>
        <v>4.128862182281809</v>
      </c>
    </row>
    <row r="33" spans="20:22">
      <c r="T33" s="12">
        <v>100</v>
      </c>
      <c r="U33" s="37">
        <f t="shared" si="9"/>
        <v>1.1841523177427871</v>
      </c>
      <c r="V33" s="37">
        <f t="shared" si="10"/>
        <v>4.5749165454646077</v>
      </c>
    </row>
    <row r="34" spans="20:22">
      <c r="T34" s="13">
        <v>105</v>
      </c>
      <c r="U34" s="37">
        <f t="shared" si="9"/>
        <v>1.3055279303114227</v>
      </c>
      <c r="V34" s="37">
        <f t="shared" si="10"/>
        <v>5.0438454913747304</v>
      </c>
    </row>
    <row r="35" spans="20:22">
      <c r="T35" s="12">
        <v>110</v>
      </c>
      <c r="U35" s="37">
        <f t="shared" si="9"/>
        <v>1.4328243044687723</v>
      </c>
      <c r="V35" s="37">
        <f t="shared" si="10"/>
        <v>5.5356490200121753</v>
      </c>
    </row>
    <row r="36" spans="20:22">
      <c r="T36" s="13">
        <v>115</v>
      </c>
      <c r="U36" s="37">
        <f t="shared" si="9"/>
        <v>1.5660414402148359</v>
      </c>
      <c r="V36" s="37">
        <f t="shared" ref="V36:V38" si="11">0.5*$R$7*$B$4*$I$2*T36^2</f>
        <v>6.0503271313769442</v>
      </c>
    </row>
    <row r="37" spans="20:22">
      <c r="T37" s="12">
        <v>120</v>
      </c>
      <c r="U37" s="37">
        <f t="shared" si="9"/>
        <v>1.7051793375496134</v>
      </c>
      <c r="V37" s="37">
        <f t="shared" si="11"/>
        <v>6.5878798254690354</v>
      </c>
    </row>
    <row r="38" spans="20:22">
      <c r="T38" s="13">
        <v>125</v>
      </c>
      <c r="U38" s="37">
        <f t="shared" si="9"/>
        <v>1.8502379964731048</v>
      </c>
      <c r="V38" s="37">
        <f t="shared" si="11"/>
        <v>7.1483071022884497</v>
      </c>
    </row>
  </sheetData>
  <mergeCells count="6">
    <mergeCell ref="F11:F12"/>
    <mergeCell ref="H4:I4"/>
    <mergeCell ref="J4:K4"/>
    <mergeCell ref="M4:N4"/>
    <mergeCell ref="H8:I8"/>
    <mergeCell ref="J8:K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38"/>
  <sheetViews>
    <sheetView topLeftCell="A2" workbookViewId="0">
      <selection activeCell="W30" sqref="W30"/>
    </sheetView>
  </sheetViews>
  <sheetFormatPr defaultRowHeight="15"/>
  <cols>
    <col min="1" max="1" width="16.85546875" style="12" bestFit="1" customWidth="1"/>
    <col min="2" max="2" width="11" style="12" bestFit="1" customWidth="1"/>
    <col min="3" max="3" width="11" style="12" customWidth="1"/>
    <col min="4" max="4" width="21.85546875" style="12" bestFit="1" customWidth="1"/>
    <col min="5" max="5" width="10" style="12" customWidth="1"/>
    <col min="6" max="6" width="12" style="12" bestFit="1" customWidth="1"/>
    <col min="7" max="7" width="12.140625" style="12" bestFit="1" customWidth="1"/>
    <col min="8" max="9" width="11.42578125" style="12" customWidth="1"/>
    <col min="10" max="10" width="11.85546875" style="12" bestFit="1" customWidth="1"/>
    <col min="11" max="11" width="11.140625" style="12" bestFit="1" customWidth="1"/>
    <col min="12" max="12" width="24.28515625" style="12" bestFit="1" customWidth="1"/>
    <col min="13" max="13" width="11.85546875" style="12" bestFit="1" customWidth="1"/>
    <col min="14" max="14" width="11.140625" style="12" bestFit="1" customWidth="1"/>
    <col min="15" max="15" width="5.28515625" style="12" customWidth="1"/>
    <col min="16" max="16" width="6.28515625" style="12" customWidth="1"/>
    <col min="17" max="19" width="9.140625" style="12"/>
    <col min="20" max="21" width="12" style="12" bestFit="1" customWidth="1"/>
    <col min="22" max="16384" width="9.140625" style="12"/>
  </cols>
  <sheetData>
    <row r="1" spans="1:27" ht="17.25">
      <c r="A1" s="17" t="s">
        <v>26</v>
      </c>
      <c r="B1" s="17" t="s">
        <v>59</v>
      </c>
      <c r="C1" s="13"/>
      <c r="D1" s="17" t="s">
        <v>31</v>
      </c>
      <c r="E1" s="17">
        <v>1</v>
      </c>
      <c r="F1" s="13"/>
      <c r="G1" s="17"/>
      <c r="H1" s="17" t="s">
        <v>35</v>
      </c>
      <c r="I1" s="17" t="s">
        <v>36</v>
      </c>
      <c r="K1" s="16" t="s">
        <v>20</v>
      </c>
      <c r="L1" s="16" t="s">
        <v>50</v>
      </c>
      <c r="M1" s="16" t="s">
        <v>51</v>
      </c>
      <c r="P1" s="8"/>
      <c r="Q1" s="13"/>
      <c r="R1" s="13"/>
      <c r="S1" s="13"/>
      <c r="T1" s="13"/>
      <c r="U1" s="13"/>
      <c r="V1" s="13" t="s">
        <v>42</v>
      </c>
      <c r="W1" s="13"/>
      <c r="X1" s="13"/>
      <c r="Y1" s="13"/>
      <c r="Z1" s="13"/>
      <c r="AA1" s="13"/>
    </row>
    <row r="2" spans="1:27" ht="18">
      <c r="A2" s="17" t="s">
        <v>21</v>
      </c>
      <c r="B2" s="17">
        <v>250000</v>
      </c>
      <c r="C2" s="13"/>
      <c r="D2" s="17" t="s">
        <v>55</v>
      </c>
      <c r="E2" s="17">
        <v>80</v>
      </c>
      <c r="F2" s="13"/>
      <c r="G2" s="17" t="s">
        <v>32</v>
      </c>
      <c r="H2" s="17">
        <v>222.03100000000001</v>
      </c>
      <c r="I2" s="17">
        <f>H2/144</f>
        <v>1.5418819444444445</v>
      </c>
      <c r="J2" s="13"/>
      <c r="K2" s="17">
        <f>C7/B7</f>
        <v>0.75757575757575757</v>
      </c>
      <c r="L2" s="17">
        <f>(2/3)*B7*(1+K2+K2^2)/(1+K2)</f>
        <v>7.0041379310344816</v>
      </c>
      <c r="M2" s="17">
        <f>(12*E3/6)*((1+2*K2)/(1+K2))</f>
        <v>6.9548275862068971</v>
      </c>
      <c r="N2" s="13"/>
      <c r="O2" s="13"/>
      <c r="P2" s="8" t="s">
        <v>8</v>
      </c>
      <c r="Q2" s="13" t="s">
        <v>37</v>
      </c>
      <c r="R2" s="8" t="s">
        <v>9</v>
      </c>
      <c r="S2" s="8" t="s">
        <v>38</v>
      </c>
      <c r="T2" s="8" t="s">
        <v>39</v>
      </c>
      <c r="U2" s="8" t="s">
        <v>12</v>
      </c>
      <c r="V2" s="8" t="s">
        <v>13</v>
      </c>
      <c r="W2" s="13"/>
      <c r="X2" s="13"/>
      <c r="Y2" s="13"/>
      <c r="Z2" s="13"/>
      <c r="AA2" s="13"/>
    </row>
    <row r="3" spans="1:27">
      <c r="A3" s="17" t="s">
        <v>17</v>
      </c>
      <c r="B3" s="17">
        <v>0.18</v>
      </c>
      <c r="C3" s="13"/>
      <c r="D3" s="17" t="s">
        <v>33</v>
      </c>
      <c r="E3" s="17">
        <v>2.4300000000000002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8" t="s">
        <v>14</v>
      </c>
      <c r="Q3" s="8" t="s">
        <v>15</v>
      </c>
      <c r="R3" s="8" t="s">
        <v>15</v>
      </c>
      <c r="S3" s="8" t="s">
        <v>15</v>
      </c>
      <c r="T3" s="8" t="s">
        <v>15</v>
      </c>
      <c r="U3" s="8" t="s">
        <v>15</v>
      </c>
      <c r="V3" s="8" t="s">
        <v>15</v>
      </c>
      <c r="W3" s="13"/>
      <c r="X3" s="13"/>
      <c r="Y3" s="13"/>
      <c r="Z3" s="13"/>
      <c r="AA3" s="13"/>
    </row>
    <row r="4" spans="1:27" ht="18.75">
      <c r="A4" s="7" t="s">
        <v>34</v>
      </c>
      <c r="B4" s="30">
        <v>2.2878199999999999E-3</v>
      </c>
      <c r="C4" s="13"/>
      <c r="D4" s="13"/>
      <c r="E4" s="13"/>
      <c r="F4" s="13"/>
      <c r="G4" s="16" t="s">
        <v>60</v>
      </c>
      <c r="H4" s="42" t="s">
        <v>65</v>
      </c>
      <c r="I4" s="42"/>
      <c r="J4" s="42" t="s">
        <v>67</v>
      </c>
      <c r="K4" s="42"/>
      <c r="M4" s="43" t="s">
        <v>77</v>
      </c>
      <c r="N4" s="43"/>
      <c r="O4" s="13"/>
      <c r="P4" s="8">
        <v>20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>
      <c r="A5" s="13"/>
      <c r="B5" s="13"/>
      <c r="C5" s="13"/>
      <c r="D5" s="13"/>
      <c r="E5" s="17" t="s">
        <v>7</v>
      </c>
      <c r="F5" s="13"/>
      <c r="G5" s="16" t="s">
        <v>52</v>
      </c>
      <c r="H5" s="16" t="s">
        <v>53</v>
      </c>
      <c r="I5" s="16" t="s">
        <v>54</v>
      </c>
      <c r="J5" s="16" t="s">
        <v>53</v>
      </c>
      <c r="K5" s="16" t="s">
        <v>54</v>
      </c>
      <c r="M5" s="16" t="s">
        <v>53</v>
      </c>
      <c r="N5" s="16" t="s">
        <v>54</v>
      </c>
      <c r="O5" s="13"/>
      <c r="P5" s="8">
        <v>18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>
      <c r="A6" s="17"/>
      <c r="B6" s="17" t="s">
        <v>27</v>
      </c>
      <c r="C6" s="17" t="s">
        <v>28</v>
      </c>
      <c r="D6" s="13"/>
      <c r="E6" s="17">
        <f>4.61*(1-0.045*F11^(0.68))*(COS(C12))^0.15-3.1</f>
        <v>0.97833056628945281</v>
      </c>
      <c r="F6" s="13"/>
      <c r="G6" s="16">
        <f>('Wing Chract. (Ref)'!A16)-(('Wing Chract. (Ref)'!B16)/(('Wing Chract. (Ref)'!B16-'Wing Chract. (Ref)'!B17)/('Wing Chract. (Ref)'!A16-'Wing Chract. (Ref)'!A17)))</f>
        <v>-4.3133553563001419</v>
      </c>
      <c r="H6" s="16">
        <f>('Wing Chract. (Ref)'!B14-0)/(0-'Wing Info. (Ref)'!G6)</f>
        <v>0.10351570021881837</v>
      </c>
      <c r="I6" s="16">
        <f>H6*180/PI()</f>
        <v>5.9310127358797455</v>
      </c>
      <c r="J6" s="16">
        <f>K6*PI()/180</f>
        <v>6.3948933113289225E-2</v>
      </c>
      <c r="K6" s="16">
        <f>I6*COS(C11)/(SQRT(1+(I6*COS(C11)/(PI()*F11))^2)+(I6*COS(C11)/(PI()*F11)))</f>
        <v>3.6640039717558688</v>
      </c>
      <c r="M6" s="16">
        <f>('Wing Chract. (Ref)'!E12-'Wing Chract. (Ref)'!E17)/('Wing Chract. (Ref)'!A12-'Wing Chract. (Ref)'!A17)</f>
        <v>5.5000000000000047E-4</v>
      </c>
      <c r="N6" s="16">
        <f>M6*180/PI()</f>
        <v>3.1512678732195307E-2</v>
      </c>
      <c r="P6" s="8">
        <v>16</v>
      </c>
      <c r="Q6" s="13"/>
      <c r="R6" s="13"/>
      <c r="S6" s="8"/>
      <c r="T6" s="13"/>
      <c r="U6" s="13"/>
      <c r="V6" s="13"/>
      <c r="W6" s="13"/>
      <c r="X6" s="13" t="s">
        <v>62</v>
      </c>
      <c r="Y6" s="13" t="s">
        <v>63</v>
      </c>
      <c r="Z6" s="13" t="s">
        <v>64</v>
      </c>
      <c r="AA6" s="13"/>
    </row>
    <row r="7" spans="1:27">
      <c r="A7" s="17" t="s">
        <v>29</v>
      </c>
      <c r="B7" s="17">
        <v>7.92</v>
      </c>
      <c r="C7" s="17">
        <v>6</v>
      </c>
      <c r="D7" s="13"/>
      <c r="H7" s="16">
        <f>('Wing Chract. (Ref)'!B8-'Wing Chract. (Ref)'!B9)/('Wing Chract. (Ref)'!A8-'Wing Chract. (Ref)'!A9)</f>
        <v>4.3849999999999945E-2</v>
      </c>
      <c r="I7" s="16">
        <f>H7*180/PI()</f>
        <v>2.5124199316486568</v>
      </c>
      <c r="J7" s="16">
        <f>K7*PI()/180</f>
        <v>3.5299496666495248E-2</v>
      </c>
      <c r="K7" s="16">
        <f>I7*COS(C11)/(SQRT(1+(I7*COS(C11)/(PI()*F11))^2)+(I7*COS(C11)/(PI()*F11)))</f>
        <v>2.0225121779262962</v>
      </c>
      <c r="L7" s="13"/>
      <c r="M7" s="13"/>
      <c r="N7" s="13"/>
      <c r="O7" s="13"/>
      <c r="P7" s="8">
        <v>14</v>
      </c>
      <c r="Q7" s="13">
        <f>$H$7*(P7-$P$10)+$Q$27</f>
        <v>1.5377256017505467</v>
      </c>
      <c r="R7" s="13">
        <f>$J$7*(P7-$P$10)+$R$27</f>
        <v>0.99922291807917096</v>
      </c>
      <c r="S7" s="8"/>
      <c r="T7" s="13"/>
      <c r="U7" s="13" t="e">
        <f t="shared" ref="U7:U20" si="0">R7/S7</f>
        <v>#DIV/0!</v>
      </c>
      <c r="V7" s="13" t="e">
        <f t="shared" ref="V7:V20" si="1">1/U7</f>
        <v>#DIV/0!</v>
      </c>
      <c r="W7" s="13"/>
      <c r="X7" s="13">
        <f>0.1035*((P7-((57.3*R7)/(PI()*3.6)))-(-4.313))</f>
        <v>1.3714272341620539</v>
      </c>
      <c r="Y7" s="13">
        <f>R7^2/(PI()*$E$6*$F$11)</f>
        <v>8.4825778328086007E-2</v>
      </c>
      <c r="Z7" s="13"/>
      <c r="AA7" s="13">
        <f t="shared" ref="AA7:AA20" si="2">Y7+Z7</f>
        <v>8.4825778328086007E-2</v>
      </c>
    </row>
    <row r="8" spans="1:27">
      <c r="A8" s="17" t="s">
        <v>30</v>
      </c>
      <c r="B8" s="17">
        <f>B7*B3</f>
        <v>1.4256</v>
      </c>
      <c r="C8" s="17">
        <f>C7*B3</f>
        <v>1.08</v>
      </c>
      <c r="D8" s="13"/>
      <c r="H8" s="42" t="s">
        <v>66</v>
      </c>
      <c r="I8" s="42"/>
      <c r="J8" s="44" t="s">
        <v>68</v>
      </c>
      <c r="K8" s="45"/>
      <c r="L8" s="13"/>
      <c r="M8" s="13"/>
      <c r="N8" s="13"/>
      <c r="O8" s="13"/>
      <c r="P8" s="8">
        <v>12</v>
      </c>
      <c r="Q8" s="13">
        <f t="shared" ref="Q8" si="3">$H$7*(P8-$P$10)+$Q$27</f>
        <v>1.4500256017505468</v>
      </c>
      <c r="R8" s="13">
        <f t="shared" ref="R8:R9" si="4">$J$7*(P8-$P$10)+$R$27</f>
        <v>0.9286239247461805</v>
      </c>
      <c r="S8" s="8"/>
      <c r="T8" s="13"/>
      <c r="U8" s="13" t="e">
        <f t="shared" si="0"/>
        <v>#DIV/0!</v>
      </c>
      <c r="V8" s="13" t="e">
        <f t="shared" si="1"/>
        <v>#DIV/0!</v>
      </c>
      <c r="W8" s="13"/>
      <c r="X8" s="13">
        <f t="shared" ref="X8:X20" si="5">0.1035*((P8-((57.3*R8)/(PI()*3.6)))-(-4.313))</f>
        <v>1.20144763415218</v>
      </c>
      <c r="Y8" s="13">
        <f t="shared" ref="Y8:Y20" si="6">R8^2/(PI()*$E$6*$F$11)</f>
        <v>7.3262682695612785E-2</v>
      </c>
      <c r="Z8" s="13"/>
      <c r="AA8" s="13">
        <f t="shared" si="2"/>
        <v>7.3262682695612785E-2</v>
      </c>
    </row>
    <row r="9" spans="1:27">
      <c r="A9" s="13"/>
      <c r="B9" s="13"/>
      <c r="C9" s="13"/>
      <c r="D9" s="13"/>
      <c r="L9" s="13"/>
      <c r="N9" s="6"/>
      <c r="O9" s="6"/>
      <c r="P9" s="8">
        <v>10</v>
      </c>
      <c r="Q9" s="13">
        <f>$H$7*(P9-$P$10)+$Q$27</f>
        <v>1.362325601750547</v>
      </c>
      <c r="R9" s="13">
        <f t="shared" si="4"/>
        <v>0.85802493141318992</v>
      </c>
      <c r="S9" s="8"/>
      <c r="T9" s="13"/>
      <c r="U9" s="13" t="e">
        <f t="shared" si="0"/>
        <v>#DIV/0!</v>
      </c>
      <c r="V9" s="13" t="e">
        <f t="shared" si="1"/>
        <v>#DIV/0!</v>
      </c>
      <c r="W9" s="13"/>
      <c r="X9" s="13">
        <f t="shared" si="5"/>
        <v>1.0314680341423059</v>
      </c>
      <c r="Y9" s="13">
        <f t="shared" si="6"/>
        <v>6.2546483085511681E-2</v>
      </c>
      <c r="Z9" s="13"/>
      <c r="AA9" s="13">
        <f t="shared" si="2"/>
        <v>6.2546483085511681E-2</v>
      </c>
    </row>
    <row r="10" spans="1:27" ht="18">
      <c r="A10" s="16"/>
      <c r="B10" s="17" t="s">
        <v>52</v>
      </c>
      <c r="C10" s="17" t="s">
        <v>61</v>
      </c>
      <c r="D10" s="13"/>
      <c r="E10" s="17"/>
      <c r="F10" s="17" t="s">
        <v>19</v>
      </c>
      <c r="G10" s="17" t="s">
        <v>18</v>
      </c>
      <c r="H10" s="17" t="s">
        <v>46</v>
      </c>
      <c r="I10" s="17" t="s">
        <v>47</v>
      </c>
      <c r="J10" s="17" t="s">
        <v>48</v>
      </c>
      <c r="K10" s="17" t="s">
        <v>49</v>
      </c>
      <c r="L10" s="17" t="s">
        <v>56</v>
      </c>
      <c r="O10" s="13"/>
      <c r="P10" s="8">
        <v>8</v>
      </c>
      <c r="Q10" s="13">
        <f>$H$6*(P10-$G$6)</f>
        <v>1.2746256017505471</v>
      </c>
      <c r="R10" s="13">
        <f>$J$6*(P10-$G$6)</f>
        <v>0.78742593808019945</v>
      </c>
      <c r="S10" s="8"/>
      <c r="T10" s="13"/>
      <c r="U10" s="13" t="e">
        <f t="shared" si="0"/>
        <v>#DIV/0!</v>
      </c>
      <c r="V10" s="13" t="e">
        <f t="shared" si="1"/>
        <v>#DIV/0!</v>
      </c>
      <c r="W10" s="13"/>
      <c r="X10" s="13">
        <f t="shared" si="5"/>
        <v>0.86148843413243181</v>
      </c>
      <c r="Y10" s="13">
        <f t="shared" si="6"/>
        <v>5.2677179497782688E-2</v>
      </c>
      <c r="Z10" s="13"/>
      <c r="AA10" s="13">
        <f t="shared" si="2"/>
        <v>5.2677179497782688E-2</v>
      </c>
    </row>
    <row r="11" spans="1:27">
      <c r="A11" s="17" t="s">
        <v>71</v>
      </c>
      <c r="B11" s="17">
        <v>8.8628</v>
      </c>
      <c r="C11" s="17">
        <f>B11*PI()/180</f>
        <v>0.15468504094575344</v>
      </c>
      <c r="D11" s="13"/>
      <c r="E11" s="17" t="s">
        <v>44</v>
      </c>
      <c r="F11" s="46">
        <f>E3^2/I2</f>
        <v>3.8296706315784736</v>
      </c>
      <c r="G11" s="17">
        <f>((-M6/H6)+0.25)*100</f>
        <v>24.468679631362804</v>
      </c>
      <c r="H11" s="17">
        <f>SQRT((2*$E$1)/($B$4*$I$2*'Wing Chract. (Ref)'!B9))</f>
        <v>20.107498420737908</v>
      </c>
      <c r="I11" s="17">
        <f>SQRT((2*$E$1)/($B$4*$I$2*'Wing Chract. (Ref)'!$B$14))</f>
        <v>35.634262808895265</v>
      </c>
      <c r="J11" s="17">
        <f>0.5*'Wing Chract. (Ref)'!B9*$I$2*$B$4*$H$11^2</f>
        <v>0.99999999999999989</v>
      </c>
      <c r="K11" s="17">
        <f>0.5*'Wing Chract. (Ref)'!$B$14*$I$2*$B$4*$I$11^2</f>
        <v>0.99999999999999956</v>
      </c>
      <c r="L11" s="17">
        <f>0.5*'Wing Chract. (Ref)'!$B$14*$I$2*$B$4*$E$2^2</f>
        <v>5.040161082678444</v>
      </c>
      <c r="M11" s="13"/>
      <c r="N11" s="13"/>
      <c r="O11" s="13"/>
      <c r="P11" s="8">
        <v>6</v>
      </c>
      <c r="Q11" s="13">
        <f t="shared" ref="Q11:Q20" si="7">$H$6*(P11-$G$6)</f>
        <v>1.0675942013129103</v>
      </c>
      <c r="R11" s="13">
        <f t="shared" ref="R11:R20" si="8">$J$6*(P11-$G$6)</f>
        <v>0.65952807185362095</v>
      </c>
      <c r="S11" s="8"/>
      <c r="T11" s="13"/>
      <c r="U11" s="13" t="e">
        <f t="shared" si="0"/>
        <v>#DIV/0!</v>
      </c>
      <c r="V11" s="13" t="e">
        <f t="shared" si="1"/>
        <v>#DIV/0!</v>
      </c>
      <c r="W11" s="13"/>
      <c r="X11" s="13">
        <f t="shared" si="5"/>
        <v>0.72155497349877995</v>
      </c>
      <c r="Y11" s="13">
        <f t="shared" si="6"/>
        <v>3.6954697463559526E-2</v>
      </c>
      <c r="Z11" s="13"/>
      <c r="AA11" s="13">
        <f t="shared" si="2"/>
        <v>3.6954697463559526E-2</v>
      </c>
    </row>
    <row r="12" spans="1:27">
      <c r="A12" s="17" t="s">
        <v>72</v>
      </c>
      <c r="B12" s="17">
        <v>12.5</v>
      </c>
      <c r="C12" s="17">
        <f>B12*PI()/180</f>
        <v>0.21816615649929119</v>
      </c>
      <c r="D12" s="13"/>
      <c r="E12" s="17" t="s">
        <v>45</v>
      </c>
      <c r="F12" s="47"/>
      <c r="G12" s="17">
        <f>((-M6/J6)+0.25)*100</f>
        <v>24.139938739829102</v>
      </c>
      <c r="H12" s="17">
        <f>SQRT((2*$E$1)/($B$4*$I$2*R7))</f>
        <v>23.820304950498045</v>
      </c>
      <c r="I12" s="17">
        <f>SQRT((2*$E$1)/($B$4*$I$2*R14))</f>
        <v>45.337152423605865</v>
      </c>
      <c r="J12" s="17">
        <f>0.5*R7*$I$2*$B$4*$H$12^2</f>
        <v>1</v>
      </c>
      <c r="K12" s="17">
        <f>0.5*R14*$I$2*$B$4*$I$12^2</f>
        <v>0.99999999999999967</v>
      </c>
      <c r="L12" s="17">
        <f>0.5*R14*$I$2*$B$4*$E$2^2</f>
        <v>3.1136622104191032</v>
      </c>
      <c r="M12" s="13"/>
      <c r="N12" s="13"/>
      <c r="O12" s="13"/>
      <c r="P12" s="8">
        <v>4</v>
      </c>
      <c r="Q12" s="13">
        <f t="shared" si="7"/>
        <v>0.86056280087527359</v>
      </c>
      <c r="R12" s="13">
        <f t="shared" si="8"/>
        <v>0.53163020562704255</v>
      </c>
      <c r="S12" s="8"/>
      <c r="T12" s="13"/>
      <c r="U12" s="13" t="e">
        <f t="shared" si="0"/>
        <v>#DIV/0!</v>
      </c>
      <c r="V12" s="13" t="e">
        <f t="shared" si="1"/>
        <v>#DIV/0!</v>
      </c>
      <c r="W12" s="13"/>
      <c r="X12" s="13">
        <f t="shared" si="5"/>
        <v>0.58162151286512798</v>
      </c>
      <c r="Y12" s="13">
        <f t="shared" si="6"/>
        <v>2.4011670602282507E-2</v>
      </c>
      <c r="Z12" s="13"/>
      <c r="AA12" s="13">
        <f t="shared" si="2"/>
        <v>2.4011670602282507E-2</v>
      </c>
    </row>
    <row r="13" spans="1:27">
      <c r="A13" s="13"/>
      <c r="B13" s="13"/>
      <c r="C13" s="13"/>
      <c r="D13" s="13"/>
      <c r="F13" s="13"/>
      <c r="G13" s="13"/>
      <c r="H13" s="5"/>
      <c r="I13" s="5"/>
      <c r="J13" s="13"/>
      <c r="K13" s="5"/>
      <c r="L13" s="13"/>
      <c r="P13" s="8">
        <v>2</v>
      </c>
      <c r="Q13" s="13">
        <f t="shared" si="7"/>
        <v>0.65353140043763669</v>
      </c>
      <c r="R13" s="13">
        <f t="shared" si="8"/>
        <v>0.40373233940046405</v>
      </c>
      <c r="S13" s="8"/>
      <c r="T13" s="13"/>
      <c r="U13" s="13" t="e">
        <f t="shared" si="0"/>
        <v>#DIV/0!</v>
      </c>
      <c r="V13" s="13" t="e">
        <f t="shared" si="1"/>
        <v>#DIV/0!</v>
      </c>
      <c r="W13" s="13"/>
      <c r="X13" s="13">
        <f t="shared" si="5"/>
        <v>0.44168805223147606</v>
      </c>
      <c r="Y13" s="13">
        <f t="shared" si="6"/>
        <v>1.3848098913951615E-2</v>
      </c>
      <c r="Z13" s="13"/>
      <c r="AA13" s="13">
        <f t="shared" si="2"/>
        <v>1.3848098913951615E-2</v>
      </c>
    </row>
    <row r="14" spans="1:27" ht="15" customHeight="1">
      <c r="A14" s="13"/>
      <c r="B14" s="13"/>
      <c r="C14" s="13"/>
      <c r="E14" s="13"/>
      <c r="F14" s="13"/>
      <c r="G14" s="13"/>
      <c r="I14" s="13"/>
      <c r="J14" s="13"/>
      <c r="L14" s="13"/>
      <c r="P14" s="8">
        <v>0</v>
      </c>
      <c r="Q14" s="13">
        <f t="shared" si="7"/>
        <v>0.44649999999999995</v>
      </c>
      <c r="R14" s="13">
        <f t="shared" si="8"/>
        <v>0.2758344731738856</v>
      </c>
      <c r="S14" s="8"/>
      <c r="T14" s="13"/>
      <c r="U14" s="13" t="e">
        <f t="shared" si="0"/>
        <v>#DIV/0!</v>
      </c>
      <c r="V14" s="13" t="e">
        <f t="shared" si="1"/>
        <v>#DIV/0!</v>
      </c>
      <c r="W14" s="13"/>
      <c r="X14" s="13">
        <f t="shared" si="5"/>
        <v>0.30175459159782408</v>
      </c>
      <c r="Y14" s="13">
        <f t="shared" si="6"/>
        <v>6.4639823985668671E-3</v>
      </c>
      <c r="Z14" s="13"/>
      <c r="AA14" s="13">
        <f t="shared" si="2"/>
        <v>6.4639823985668671E-3</v>
      </c>
    </row>
    <row r="15" spans="1:27" ht="15" customHeight="1">
      <c r="A15" s="13"/>
      <c r="B15" s="13"/>
      <c r="C15" s="13"/>
      <c r="E15" s="13"/>
      <c r="F15" s="13"/>
      <c r="G15" s="13"/>
      <c r="H15" s="13"/>
      <c r="I15" s="13"/>
      <c r="J15" s="13"/>
      <c r="K15" s="13"/>
      <c r="P15" s="8">
        <v>-2</v>
      </c>
      <c r="Q15" s="13">
        <f t="shared" si="7"/>
        <v>0.23946859956236324</v>
      </c>
      <c r="R15" s="13">
        <f t="shared" si="8"/>
        <v>0.14793660694730715</v>
      </c>
      <c r="S15" s="8"/>
      <c r="T15" s="13"/>
      <c r="U15" s="13" t="e">
        <f t="shared" si="0"/>
        <v>#DIV/0!</v>
      </c>
      <c r="V15" s="13" t="e">
        <f t="shared" si="1"/>
        <v>#DIV/0!</v>
      </c>
      <c r="W15" s="13"/>
      <c r="X15" s="13">
        <f t="shared" si="5"/>
        <v>0.16182113096417217</v>
      </c>
      <c r="Y15" s="13">
        <f t="shared" si="6"/>
        <v>1.8593210561282554E-3</v>
      </c>
      <c r="Z15" s="13"/>
      <c r="AA15" s="13">
        <f t="shared" si="2"/>
        <v>1.8593210561282554E-3</v>
      </c>
    </row>
    <row r="16" spans="1:27" ht="15" customHeight="1">
      <c r="E16" s="5"/>
      <c r="F16" s="5"/>
      <c r="G16" s="13"/>
      <c r="H16" s="13"/>
      <c r="I16" s="13"/>
      <c r="J16" s="13"/>
      <c r="K16" s="13"/>
      <c r="P16" s="8">
        <v>-4</v>
      </c>
      <c r="Q16" s="13">
        <f t="shared" si="7"/>
        <v>3.2437199124726507E-2</v>
      </c>
      <c r="R16" s="13">
        <f t="shared" si="8"/>
        <v>2.0038740720728688E-2</v>
      </c>
      <c r="S16" s="8"/>
      <c r="T16" s="13"/>
      <c r="U16" s="13" t="e">
        <f t="shared" si="0"/>
        <v>#DIV/0!</v>
      </c>
      <c r="V16" s="13" t="e">
        <f t="shared" si="1"/>
        <v>#DIV/0!</v>
      </c>
      <c r="W16" s="13"/>
      <c r="X16" s="13">
        <f t="shared" si="5"/>
        <v>2.1887670330520258E-2</v>
      </c>
      <c r="Y16" s="13">
        <f t="shared" si="6"/>
        <v>3.4114886635781625E-5</v>
      </c>
      <c r="Z16" s="13"/>
      <c r="AA16" s="13">
        <f t="shared" si="2"/>
        <v>3.4114886635781625E-5</v>
      </c>
    </row>
    <row r="17" spans="2:27" ht="15" customHeight="1">
      <c r="P17" s="8">
        <v>-6</v>
      </c>
      <c r="Q17" s="13">
        <f t="shared" si="7"/>
        <v>-0.17459420131291023</v>
      </c>
      <c r="R17" s="13">
        <f t="shared" si="8"/>
        <v>-0.10785912550584976</v>
      </c>
      <c r="S17" s="8"/>
      <c r="T17" s="13"/>
      <c r="U17" s="13" t="e">
        <f t="shared" si="0"/>
        <v>#DIV/0!</v>
      </c>
      <c r="V17" s="13" t="e">
        <f t="shared" si="1"/>
        <v>#DIV/0!</v>
      </c>
      <c r="W17" s="13"/>
      <c r="X17" s="13">
        <f t="shared" si="5"/>
        <v>-0.11804579030313171</v>
      </c>
      <c r="Y17" s="13">
        <f t="shared" si="6"/>
        <v>9.8836389008944564E-4</v>
      </c>
      <c r="Z17" s="13"/>
      <c r="AA17" s="13">
        <f t="shared" si="2"/>
        <v>9.8836389008944564E-4</v>
      </c>
    </row>
    <row r="18" spans="2:27">
      <c r="B18" s="13"/>
      <c r="P18" s="8">
        <v>-8</v>
      </c>
      <c r="Q18" s="13">
        <f t="shared" si="7"/>
        <v>-0.38162560175054699</v>
      </c>
      <c r="R18" s="13">
        <f t="shared" si="8"/>
        <v>-0.2357569917324282</v>
      </c>
      <c r="S18" s="13"/>
      <c r="T18" s="13"/>
      <c r="U18" s="13" t="e">
        <f t="shared" si="0"/>
        <v>#DIV/0!</v>
      </c>
      <c r="V18" s="13" t="e">
        <f t="shared" si="1"/>
        <v>#DIV/0!</v>
      </c>
      <c r="W18" s="13"/>
      <c r="X18" s="13">
        <f t="shared" si="5"/>
        <v>-0.2579792509367837</v>
      </c>
      <c r="Y18" s="13">
        <f t="shared" si="6"/>
        <v>4.7220680664892467E-3</v>
      </c>
      <c r="Z18" s="13"/>
      <c r="AA18" s="13">
        <f t="shared" si="2"/>
        <v>4.7220680664892467E-3</v>
      </c>
    </row>
    <row r="19" spans="2:27">
      <c r="B19" s="13"/>
      <c r="P19" s="8">
        <v>-10</v>
      </c>
      <c r="Q19" s="13">
        <f t="shared" si="7"/>
        <v>-0.58865700218818373</v>
      </c>
      <c r="R19" s="13">
        <f t="shared" si="8"/>
        <v>-0.36365485795900665</v>
      </c>
      <c r="S19" s="13"/>
      <c r="T19" s="13"/>
      <c r="U19" s="13" t="e">
        <f t="shared" si="0"/>
        <v>#DIV/0!</v>
      </c>
      <c r="V19" s="13" t="e">
        <f t="shared" si="1"/>
        <v>#DIV/0!</v>
      </c>
      <c r="W19" s="13"/>
      <c r="X19" s="13">
        <f t="shared" si="5"/>
        <v>-0.39791271157043562</v>
      </c>
      <c r="Y19" s="13">
        <f t="shared" si="6"/>
        <v>1.1235227415835186E-2</v>
      </c>
      <c r="Z19" s="13"/>
      <c r="AA19" s="13">
        <f t="shared" si="2"/>
        <v>1.1235227415835186E-2</v>
      </c>
    </row>
    <row r="20" spans="2:27" ht="15" customHeight="1">
      <c r="P20" s="8">
        <v>-12</v>
      </c>
      <c r="Q20" s="13">
        <f t="shared" si="7"/>
        <v>-0.79568840262582041</v>
      </c>
      <c r="R20" s="13">
        <f t="shared" si="8"/>
        <v>-0.4915527241855851</v>
      </c>
      <c r="S20" s="13"/>
      <c r="T20" s="13"/>
      <c r="U20" s="13" t="e">
        <f t="shared" si="0"/>
        <v>#DIV/0!</v>
      </c>
      <c r="V20" s="13" t="e">
        <f t="shared" si="1"/>
        <v>#DIV/0!</v>
      </c>
      <c r="W20" s="13"/>
      <c r="X20" s="13">
        <f t="shared" si="5"/>
        <v>-0.53784617220408759</v>
      </c>
      <c r="Y20" s="13">
        <f t="shared" si="6"/>
        <v>2.0527841938127261E-2</v>
      </c>
      <c r="Z20" s="13"/>
      <c r="AA20" s="13">
        <f t="shared" si="2"/>
        <v>2.0527841938127261E-2</v>
      </c>
    </row>
    <row r="21" spans="2:27">
      <c r="P21" s="8">
        <v>-14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2:27">
      <c r="P22" s="8">
        <v>-16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7">
      <c r="P23" s="8">
        <v>-18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2:27"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2:27">
      <c r="Q25" s="13"/>
      <c r="T25" s="13" t="s">
        <v>100</v>
      </c>
      <c r="U25" s="13" t="s">
        <v>106</v>
      </c>
      <c r="V25" s="13" t="s">
        <v>107</v>
      </c>
      <c r="W25" s="13"/>
      <c r="X25" s="13"/>
      <c r="Y25" s="13"/>
      <c r="Z25" s="13"/>
    </row>
    <row r="26" spans="2:27">
      <c r="Q26" s="17" t="s">
        <v>69</v>
      </c>
      <c r="R26" s="17" t="s">
        <v>70</v>
      </c>
      <c r="T26" s="13">
        <v>65</v>
      </c>
      <c r="U26" s="37">
        <f>0.5*$R$14*$B$4*$I$2*T26^2</f>
        <v>2.0555035685969862</v>
      </c>
      <c r="V26" s="37">
        <f>0.5*$R$7*$B$4*$I$2*T26^2</f>
        <v>7.4461551172425446</v>
      </c>
      <c r="W26" s="13"/>
      <c r="X26" s="13"/>
      <c r="Y26" s="13"/>
      <c r="Z26" s="13"/>
    </row>
    <row r="27" spans="2:27">
      <c r="Q27" s="17">
        <f>Q10</f>
        <v>1.2746256017505471</v>
      </c>
      <c r="R27" s="17">
        <f>R10</f>
        <v>0.78742593808019945</v>
      </c>
      <c r="T27" s="12">
        <v>70</v>
      </c>
      <c r="U27" s="37">
        <f t="shared" ref="U27:U38" si="9">0.5*$R$14*$B$4*$I$2*T27^2</f>
        <v>2.3838976298521262</v>
      </c>
      <c r="V27" s="37">
        <f t="shared" ref="V27:V38" si="10">0.5*$R$7*$B$4*$I$2*T27^2</f>
        <v>8.6357775324233064</v>
      </c>
    </row>
    <row r="28" spans="2:27">
      <c r="T28" s="13">
        <v>75</v>
      </c>
      <c r="U28" s="37">
        <f t="shared" si="9"/>
        <v>2.7366171771261651</v>
      </c>
      <c r="V28" s="37">
        <f t="shared" si="10"/>
        <v>9.9135201265063468</v>
      </c>
    </row>
    <row r="29" spans="2:27">
      <c r="T29" s="12">
        <v>80</v>
      </c>
      <c r="U29" s="37">
        <f t="shared" si="9"/>
        <v>3.1136622104191032</v>
      </c>
      <c r="V29" s="37">
        <f t="shared" si="10"/>
        <v>11.279382899491665</v>
      </c>
    </row>
    <row r="30" spans="2:27">
      <c r="T30" s="13">
        <v>85</v>
      </c>
      <c r="U30" s="37">
        <f t="shared" si="9"/>
        <v>3.5150327297309407</v>
      </c>
      <c r="V30" s="37">
        <f t="shared" si="10"/>
        <v>12.733365851379261</v>
      </c>
    </row>
    <row r="31" spans="2:27">
      <c r="T31" s="12">
        <v>90</v>
      </c>
      <c r="U31" s="37">
        <f t="shared" si="9"/>
        <v>3.9407287350616778</v>
      </c>
      <c r="V31" s="37">
        <f t="shared" si="10"/>
        <v>14.275468982169139</v>
      </c>
    </row>
    <row r="32" spans="2:27">
      <c r="T32" s="13">
        <v>95</v>
      </c>
      <c r="U32" s="37">
        <f t="shared" si="9"/>
        <v>4.3907502264113134</v>
      </c>
      <c r="V32" s="37">
        <f t="shared" si="10"/>
        <v>15.905692291861293</v>
      </c>
    </row>
    <row r="33" spans="20:22">
      <c r="T33" s="12">
        <v>100</v>
      </c>
      <c r="U33" s="37">
        <f t="shared" si="9"/>
        <v>4.8650972037798486</v>
      </c>
      <c r="V33" s="37">
        <f t="shared" si="10"/>
        <v>17.624035780455728</v>
      </c>
    </row>
    <row r="34" spans="20:22">
      <c r="T34" s="13">
        <v>105</v>
      </c>
      <c r="U34" s="37">
        <f t="shared" si="9"/>
        <v>5.3637696671672837</v>
      </c>
      <c r="V34" s="37">
        <f t="shared" si="10"/>
        <v>19.430499447952439</v>
      </c>
    </row>
    <row r="35" spans="20:22">
      <c r="T35" s="12">
        <v>110</v>
      </c>
      <c r="U35" s="37">
        <f t="shared" si="9"/>
        <v>5.8867676165736169</v>
      </c>
      <c r="V35" s="37">
        <f t="shared" si="10"/>
        <v>21.32508329435143</v>
      </c>
    </row>
    <row r="36" spans="20:22">
      <c r="T36" s="13">
        <v>115</v>
      </c>
      <c r="U36" s="37">
        <f t="shared" si="9"/>
        <v>6.4340910519988501</v>
      </c>
      <c r="V36" s="37">
        <f t="shared" si="10"/>
        <v>23.307787319652697</v>
      </c>
    </row>
    <row r="37" spans="20:22">
      <c r="T37" s="12">
        <v>120</v>
      </c>
      <c r="U37" s="37">
        <f t="shared" si="9"/>
        <v>7.0057399734429824</v>
      </c>
      <c r="V37" s="37">
        <f t="shared" si="10"/>
        <v>25.378611523856247</v>
      </c>
    </row>
    <row r="38" spans="20:22">
      <c r="T38" s="13">
        <v>125</v>
      </c>
      <c r="U38" s="37">
        <f t="shared" si="9"/>
        <v>7.6017143809060137</v>
      </c>
      <c r="V38" s="37">
        <f t="shared" si="10"/>
        <v>27.537555906962073</v>
      </c>
    </row>
  </sheetData>
  <mergeCells count="6">
    <mergeCell ref="F11:F12"/>
    <mergeCell ref="H4:I4"/>
    <mergeCell ref="J4:K4"/>
    <mergeCell ref="M4:N4"/>
    <mergeCell ref="H8:I8"/>
    <mergeCell ref="J8:K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Aero Data</vt:lpstr>
      <vt:lpstr>Wing Info. (Ref)</vt:lpstr>
      <vt:lpstr>Wing Chract. (Ref)</vt:lpstr>
      <vt:lpstr>Wing Mid.</vt:lpstr>
      <vt:lpstr>Horizontal Info.</vt:lpstr>
      <vt:lpstr>Horizontal Chract.</vt:lpstr>
      <vt:lpstr>Vertical Info.</vt:lpstr>
      <vt:lpstr>Vertical Chract.</vt:lpstr>
      <vt:lpstr>Take Off and Turn</vt:lpstr>
      <vt:lpstr>Xfoil vs Exp.</vt:lpstr>
      <vt:lpstr>Optional 1</vt:lpstr>
      <vt:lpstr>Optional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</dc:creator>
  <cp:lastModifiedBy>kazuhiro</cp:lastModifiedBy>
  <dcterms:created xsi:type="dcterms:W3CDTF">2011-10-04T05:51:08Z</dcterms:created>
  <dcterms:modified xsi:type="dcterms:W3CDTF">2011-11-30T21:31:19Z</dcterms:modified>
</cp:coreProperties>
</file>